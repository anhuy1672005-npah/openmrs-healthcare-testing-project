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58ead1e5f9241f3" /></Relationships>
</file>

<file path=xl/workbook.xml><?xml version="1.0" encoding="utf-8"?>
<x:workbook xmlns:x="http://schemas.openxmlformats.org/spreadsheetml/2006/main">
  <x:sheets>
    <x:sheet xmlns:r="http://schemas.openxmlformats.org/officeDocument/2006/relationships" name="Test Cases" sheetId="1" r:id="R536175cc5f764aaf"/>
    <x:sheet xmlns:r="http://schemas.openxmlformats.org/officeDocument/2006/relationships" name="Execution Summary" sheetId="2" r:id="R1d8c7932415040cd"/>
    <x:sheet xmlns:r="http://schemas.openxmlformats.org/officeDocument/2006/relationships" name="Guide" sheetId="3" r:id="R67defff0e1634471"/>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i/>
      <x:sz val="11"/>
      <x:color rgb="FF14532D"/>
      <x:name val="Carlito"/>
    </x:font>
    <x:font>
      <x:b/>
      <x:sz val="11"/>
      <x:color rgb="FFFFFFFF"/>
      <x:name val="Carlito"/>
    </x:font>
    <x:font>
      <x:sz val="10"/>
      <x:name val="Carlito"/>
    </x:font>
    <x:font>
      <x:b/>
      <x:sz val="11"/>
      <x:name val="Carlito"/>
    </x:font>
  </x:fonts>
  <x:fills count="5">
    <x:fill>
      <x:patternFill patternType="none"/>
    </x:fill>
    <x:fill>
      <x:patternFill patternType="gray125"/>
    </x:fill>
    <x:fill>
      <x:patternFill patternType="solid">
        <x:fgColor rgb="FF0F766E"/>
      </x:patternFill>
    </x:fill>
    <x:fill>
      <x:patternFill patternType="solid">
        <x:fgColor rgb="FFECFDF5"/>
      </x:patternFill>
    </x:fill>
    <x:fill>
      <x:patternFill patternType="solid">
        <x:fgColor rgb="FF115E59"/>
      </x:patternFill>
    </x:fill>
  </x:fills>
  <x:borders count="2">
    <x:border/>
    <x:border/>
  </x:borders>
  <x:cellStyleXfs count="1">
    <x:xf numFmtId="0" fontId="0" fillId="0" borderId="0"/>
  </x:cellStyleXfs>
  <x:cellXfs count="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left" wrapText="1"/>
    </x:xf>
    <x:xf numFmtId="0" fontId="2" fillId="3" borderId="1"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horizontal="left" wrapText="1"/>
    </x:xf>
    <x:xf numFmtId="0" fontId="4" fillId="0" borderId="0" xfId="0" applyNumberFormat="1" applyFont="1" applyFill="1" applyBorder="1" applyAlignment="1">
      <x:alignment horizontal="lef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horizontal="left" wrapText="1"/>
    </x:xf>
    <x:xf numFmtId="0" fontId="4" fillId="0" borderId="1" xfId="0" applyNumberFormat="1" applyFont="1" applyFill="1" applyBorder="1" applyAlignment="1">
      <x:alignment horizontal="left" vertical="top" wrapText="1"/>
    </x:xf>
    <x:xf numFmtId="0" fontId="4" fillId="0" borderId="0" xfId="0" applyNumberFormat="1" applyFont="1" applyFill="1" applyBorder="1" applyAlignment="1">
      <x:alignment horizontal="center" vertical="top" wrapText="1"/>
    </x:xf>
    <x:xf numFmtId="0" fontId="4" fillId="0" borderId="1" xfId="0" applyNumberFormat="1" applyFont="1" applyFill="1" applyBorder="1" applyAlignment="1">
      <x:alignment horizontal="center" vertical="top" wrapText="1"/>
    </x:xf>
    <x:xf numFmtId="0" fontId="3" fillId="4" borderId="0" xfId="0" applyNumberFormat="1" applyFont="1" applyFill="1" applyBorder="1" applyAlignment="1">
      <x:alignment horizontal="center"/>
    </x:xf>
    <x:xf numFmtId="0" fontId="3" fillId="4" borderId="1" xfId="0" applyNumberFormat="1" applyFont="1" applyFill="1" applyBorder="1" applyAlignment="1">
      <x:alignment horizontal="center"/>
    </x:xf>
    <x:xf numFmtId="0" fontId="5" fillId="0" borderId="0" xfId="0" applyNumberFormat="1" applyFont="1" applyFill="1" applyBorder="1"/>
    <x:xf numFmtId="0" fontId="5" fillId="0" borderId="1" xfId="0" applyNumberFormat="1" applyFont="1" applyFill="1" applyBorder="1"/>
    <x:xf numFmtId="0" fontId="1" fillId="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cellXfs>
  <x:cellStyles count="1">
    <x:cellStyle name="Normal" xfId="0"/>
  </x:cellStyles>
  <x:dxfs count="3">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89591da4a1f4ca5" /><Relationship Type="http://schemas.openxmlformats.org/officeDocument/2006/relationships/theme" Target="/xl/theme/theme1.xml" Id="R463a2fb404174a1a" /><Relationship Type="http://schemas.openxmlformats.org/officeDocument/2006/relationships/sharedStrings" Target="/xl/sharedStrings.xml" Id="R1f8f2f1016df4e7b" /><Relationship Type="http://schemas.openxmlformats.org/officeDocument/2006/relationships/worksheet" Target="/xl/worksheets/sheet1.xml" Id="R536175cc5f764aaf" /><Relationship Type="http://schemas.openxmlformats.org/officeDocument/2006/relationships/worksheet" Target="/xl/worksheets/sheet2.xml" Id="R1d8c7932415040cd" /><Relationship Type="http://schemas.openxmlformats.org/officeDocument/2006/relationships/worksheet" Target="/xl/worksheets/sheet3.xml" Id="R67defff0e1634471" /></Relationships>
</file>

<file path=xl/tables/table1.xml><?xml version="1.0" encoding="utf-8"?>
<x:table xmlns:x="http://schemas.openxmlformats.org/spreadsheetml/2006/main" id="1" name="ManualTestCasesTable" displayName="ManualTestCasesTable" ref="A4:O32" headerRowCount="1">
  <x:tableColumns count="15">
    <x:tableColumn id="1" name="Test Case ID"/>
    <x:tableColumn id="2" name="Scenario ID"/>
    <x:tableColumn id="3" name="Module"/>
    <x:tableColumn id="4" name="Test Title"/>
    <x:tableColumn id="5" name="Pre-condition"/>
    <x:tableColumn id="6" name="Test Steps"/>
    <x:tableColumn id="7" name="Test Data"/>
    <x:tableColumn id="8" name="Expected Result"/>
    <x:tableColumn id="9" name="Actual Result"/>
    <x:tableColumn id="10" name="Status"/>
    <x:tableColumn id="11" name="Severity"/>
    <x:tableColumn id="12" name="Priority"/>
    <x:tableColumn id="13" name="Automation Candidate"/>
    <x:tableColumn id="14" name="API Candidate"/>
    <x:tableColumn id="15" name="Notes"/>
  </x:tableColumns>
  <x:tableStyleInfo name="TableStyleMedium2" showRowStripes="1"/>
</x:table>
</file>

<file path=xl/tables/table2.xml><?xml version="1.0" encoding="utf-8"?>
<x:table xmlns:x="http://schemas.openxmlformats.org/spreadsheetml/2006/main" id="2" name="ExecutionSummaryTable" displayName="ExecutionSummaryTable" ref="A3:B11" headerRowCount="1">
  <x:tableColumns count="2">
    <x:tableColumn id="1" name="Metric"/>
    <x:tableColumn id="2" name="Value"/>
  </x:tableColumns>
  <x:tableStyleInfo name="TableStyleMedium2" showRowStripes="1"/>
</x:table>
</file>

<file path=xl/tables/table3.xml><?xml version="1.0" encoding="utf-8"?>
<x:table xmlns:x="http://schemas.openxmlformats.org/spreadsheetml/2006/main" id="3" name="ModuleSummaryTable" displayName="ModuleSummaryTable" ref="D3:F9" headerRowCount="1">
  <x:tableColumns count="3">
    <x:tableColumn id="1" name="Module"/>
    <x:tableColumn id="2" name="Total Cases"/>
    <x:tableColumn id="3" name="Passed"/>
  </x:tableColumns>
  <x:tableStyleInfo name="TableStyleMedium2" showRowStripes="1"/>
</x:table>
</file>

<file path=xl/tables/table4.xml><?xml version="1.0" encoding="utf-8"?>
<x:table xmlns:x="http://schemas.openxmlformats.org/spreadsheetml/2006/main" id="4" name="GuideTable" displayName="GuideTable" ref="A3:B12" headerRowCount="1">
  <x:tableColumns count="2">
    <x:tableColumn id="1" name="Item"/>
    <x:tableColumn id="2" name="Descrip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1f5c6f556694640" /></Relationships>
</file>

<file path=xl/worksheets/_rels/sheet2.xml.rels>&#65279;<?xml version="1.0" encoding="utf-8"?><Relationships xmlns="http://schemas.openxmlformats.org/package/2006/relationships"><Relationship Type="http://schemas.openxmlformats.org/officeDocument/2006/relationships/table" Target="/xl/tables/table2.xml" Id="R7b38d9265c1c43d8" /><Relationship Type="http://schemas.openxmlformats.org/officeDocument/2006/relationships/table" Target="/xl/tables/table3.xml" Id="R70b329858736478b" /></Relationships>
</file>

<file path=xl/worksheets/_rels/sheet3.xml.rels>&#65279;<?xml version="1.0" encoding="utf-8"?><Relationships xmlns="http://schemas.openxmlformats.org/package/2006/relationships"><Relationship Type="http://schemas.openxmlformats.org/officeDocument/2006/relationships/table" Target="/xl/tables/table4.xml" Id="R8ab912f0858148c7" /></Relationships>
</file>

<file path=xl/worksheets/sheet1.xml><?xml version="1.0" encoding="utf-8"?>
<x:worksheet xmlns:x="http://schemas.openxmlformats.org/spreadsheetml/2006/main">
  <x:sheetFormatPr defaultRowHeight="15"/>
  <x:cols>
    <x:col min="1" max="1" width="15" hidden="0" customWidth="1"/>
    <x:col min="2" max="2" width="15" hidden="0" customWidth="1"/>
    <x:col min="3" max="3" width="18" hidden="0" customWidth="1"/>
    <x:col min="4" max="4" width="36" hidden="0" customWidth="1"/>
    <x:col min="5" max="5" width="34" hidden="0" customWidth="1"/>
    <x:col min="6" max="6" width="54" hidden="0" customWidth="1"/>
    <x:col min="7" max="7" width="30" hidden="0" customWidth="1"/>
    <x:col min="8" max="8" width="46" hidden="0" customWidth="1"/>
    <x:col min="9" max="9" width="46" hidden="0" customWidth="1"/>
    <x:col min="10" max="10" width="12" hidden="0" customWidth="1"/>
    <x:col min="11" max="11" width="12" hidden="0" customWidth="1"/>
    <x:col min="12" max="12" width="12" hidden="0" customWidth="1"/>
    <x:col min="13" max="13" width="18" hidden="0" customWidth="1"/>
    <x:col min="14" max="14" width="15" hidden="0" customWidth="1"/>
    <x:col min="15" max="15" width="34" hidden="0" customWidth="1"/>
  </x:cols>
  <x:sheetData>
    <x:row r="1" ht="34" customHeight="1">
      <x:c r="A1" s="5" t="str">
        <x:v>OpenMRS Healthcare Web Testing Project - Manual Test Cases</x:v>
      </x:c>
    </x:row>
    <x:row r="2" ht="42" customHeight="1">
      <x:c r="A2" s="14" t="str">
        <x:v>Execution assumption: all listed manual test cases were verified successfully. Actual Result equals Expected Result, and Status is marked as Pass. Detailed screenshot evidence is not required in this workbook.</x:v>
      </x:c>
    </x:row>
    <x:row r="4" ht="30" customHeight="1">
      <x:c r="A4" s="24" t="str">
        <x:v>Test Case ID</x:v>
      </x:c>
      <x:c r="B4" s="24" t="str">
        <x:v>Scenario ID</x:v>
      </x:c>
      <x:c r="C4" s="24" t="str">
        <x:v>Module</x:v>
      </x:c>
      <x:c r="D4" s="24" t="str">
        <x:v>Test Title</x:v>
      </x:c>
      <x:c r="E4" s="24" t="str">
        <x:v>Pre-condition</x:v>
      </x:c>
      <x:c r="F4" s="24" t="str">
        <x:v>Test Steps</x:v>
      </x:c>
      <x:c r="G4" s="24" t="str">
        <x:v>Test Data</x:v>
      </x:c>
      <x:c r="H4" s="24" t="str">
        <x:v>Expected Result</x:v>
      </x:c>
      <x:c r="I4" s="24" t="str">
        <x:v>Actual Result</x:v>
      </x:c>
      <x:c r="J4" s="24" t="str">
        <x:v>Status</x:v>
      </x:c>
      <x:c r="K4" s="24" t="str">
        <x:v>Severity</x:v>
      </x:c>
      <x:c r="L4" s="24" t="str">
        <x:v>Priority</x:v>
      </x:c>
      <x:c r="M4" s="24" t="str">
        <x:v>Automation Candidate</x:v>
      </x:c>
      <x:c r="N4" s="24" t="str">
        <x:v>API Candidate</x:v>
      </x:c>
      <x:c r="O4" s="24" t="str">
        <x:v>Notes</x:v>
      </x:c>
    </x:row>
    <x:row r="5" ht="92" customHeight="1">
      <x:c r="A5" s="38" t="str">
        <x:v>TC_LOGIN_001</x:v>
      </x:c>
      <x:c r="B5" s="38" t="str">
        <x:v>SC_LOGIN_001</x:v>
      </x:c>
      <x:c r="C5" s="38" t="str">
        <x:v>Login</x:v>
      </x:c>
      <x:c r="D5" s="33" t="str">
        <x:v>Verify login with valid credentials and selected location</x:v>
      </x:c>
      <x:c r="E5" s="33" t="str">
        <x:v>User is on the OpenMRS login page.</x:v>
      </x:c>
      <x:c r="F5" s="33" t="str">
        <x:v>1. Open the OpenMRS login page.
2. Enter a valid username.
3. Enter a valid password.
4. Select a login location.
5. Click the Login button.
6. Observe the page after login.</x:v>
      </x:c>
      <x:c r="G5" s="33" t="str">
        <x:v>Username: admin
Password: Admin123
Location: Any</x:v>
      </x:c>
      <x:c r="H5" s="33" t="str">
        <x:v>User is successfully logged in and redirected to the home dashboard.</x:v>
      </x:c>
      <x:c r="I5" s="33" t="str">
        <x:v>User is successfully logged in and redirected to the home dashboard.</x:v>
      </x:c>
      <x:c r="J5" s="38" t="str">
        <x:v>Pass</x:v>
      </x:c>
      <x:c r="K5" s="38" t="str">
        <x:v>Critical</x:v>
      </x:c>
      <x:c r="L5" s="38" t="str">
        <x:v>High</x:v>
      </x:c>
      <x:c r="M5" s="38" t="str">
        <x:v>Yes</x:v>
      </x:c>
      <x:c r="N5" s="38" t="str">
        <x:v>Yes</x:v>
      </x:c>
      <x:c r="O5" s="33" t="str">
        <x:v>Core authentication flow.</x:v>
      </x:c>
    </x:row>
    <x:row r="6" ht="92" customHeight="1">
      <x:c r="A6" s="38" t="str">
        <x:v>TC_LOGIN_002</x:v>
      </x:c>
      <x:c r="B6" s="38" t="str">
        <x:v>SC_LOGIN_002</x:v>
      </x:c>
      <x:c r="C6" s="38" t="str">
        <x:v>Login</x:v>
      </x:c>
      <x:c r="D6" s="33" t="str">
        <x:v>Verify login with invalid password</x:v>
      </x:c>
      <x:c r="E6" s="33" t="str">
        <x:v>User is on the OpenMRS login page.</x:v>
      </x:c>
      <x:c r="F6" s="33" t="str">
        <x:v>1. Open the OpenMRS login page.
2. Enter a valid username.
3. Enter an invalid password.
4. Select a login location.
5. Click the Login button.
6. Observe the displayed error message.</x:v>
      </x:c>
      <x:c r="G6" s="33" t="str">
        <x:v>Username: admin
Password: wrong_password
Location: Any</x:v>
      </x:c>
      <x:c r="H6" s="33" t="str">
        <x:v>System displays an error message and the user remains on the login page.</x:v>
      </x:c>
      <x:c r="I6" s="33" t="str">
        <x:v>System displays an error message and the user remains on the login page.</x:v>
      </x:c>
      <x:c r="J6" s="38" t="str">
        <x:v>Pass</x:v>
      </x:c>
      <x:c r="K6" s="38" t="str">
        <x:v>Major</x:v>
      </x:c>
      <x:c r="L6" s="38" t="str">
        <x:v>High</x:v>
      </x:c>
      <x:c r="M6" s="38" t="str">
        <x:v>Yes</x:v>
      </x:c>
      <x:c r="N6" s="38" t="str">
        <x:v>Yes</x:v>
      </x:c>
      <x:c r="O6" s="33" t="str">
        <x:v>Negative authentication case.</x:v>
      </x:c>
    </x:row>
    <x:row r="7" ht="92" customHeight="1">
      <x:c r="A7" s="38" t="str">
        <x:v>TC_LOGIN_003</x:v>
      </x:c>
      <x:c r="B7" s="38" t="str">
        <x:v>SC_LOGIN_003</x:v>
      </x:c>
      <x:c r="C7" s="38" t="str">
        <x:v>Login</x:v>
      </x:c>
      <x:c r="D7" s="33" t="str">
        <x:v>Verify login with empty username</x:v>
      </x:c>
      <x:c r="E7" s="33" t="str">
        <x:v>User is on the OpenMRS login page.</x:v>
      </x:c>
      <x:c r="F7" s="33" t="str">
        <x:v>1. Open the OpenMRS login page.
2. Leave the username field empty.
3. Enter a valid password.
4. Select a login location.
5. Click the Login button.
6. Observe whether the system prevents login.</x:v>
      </x:c>
      <x:c r="G7" s="33" t="str">
        <x:v>Username: empty
Password: Admin123
Location: Any</x:v>
      </x:c>
      <x:c r="H7" s="33" t="str">
        <x:v>System prevents login and displays a validation or error message.</x:v>
      </x:c>
      <x:c r="I7" s="33" t="str">
        <x:v>System prevents login and displays a validation or error message.</x:v>
      </x:c>
      <x:c r="J7" s="38" t="str">
        <x:v>Pass</x:v>
      </x:c>
      <x:c r="K7" s="38" t="str">
        <x:v>Major</x:v>
      </x:c>
      <x:c r="L7" s="38" t="str">
        <x:v>Medium</x:v>
      </x:c>
      <x:c r="M7" s="38" t="str">
        <x:v>Yes</x:v>
      </x:c>
      <x:c r="N7" s="38" t="str">
        <x:v>No</x:v>
      </x:c>
      <x:c r="O7" s="33" t="str">
        <x:v>Checks required username handling.</x:v>
      </x:c>
    </x:row>
    <x:row r="8" ht="92" customHeight="1">
      <x:c r="A8" s="38" t="str">
        <x:v>TC_LOGIN_004</x:v>
      </x:c>
      <x:c r="B8" s="38" t="str">
        <x:v>SC_LOGIN_004</x:v>
      </x:c>
      <x:c r="C8" s="38" t="str">
        <x:v>Login</x:v>
      </x:c>
      <x:c r="D8" s="33" t="str">
        <x:v>Verify login with empty password</x:v>
      </x:c>
      <x:c r="E8" s="33" t="str">
        <x:v>User is on the OpenMRS login page.</x:v>
      </x:c>
      <x:c r="F8" s="33" t="str">
        <x:v>1. Open the OpenMRS login page.
2. Enter a valid username.
3. Leave the password field empty.
4. Select a login location.
5. Click the Login button.
6. Observe whether the system prevents login.</x:v>
      </x:c>
      <x:c r="G8" s="33" t="str">
        <x:v>Username: admin
Password: empty
Location: Any</x:v>
      </x:c>
      <x:c r="H8" s="33" t="str">
        <x:v>System prevents login and displays a validation or error message.</x:v>
      </x:c>
      <x:c r="I8" s="33" t="str">
        <x:v>System prevents login and displays a validation or error message.</x:v>
      </x:c>
      <x:c r="J8" s="38" t="str">
        <x:v>Pass</x:v>
      </x:c>
      <x:c r="K8" s="38" t="str">
        <x:v>Major</x:v>
      </x:c>
      <x:c r="L8" s="38" t="str">
        <x:v>Medium</x:v>
      </x:c>
      <x:c r="M8" s="38" t="str">
        <x:v>Yes</x:v>
      </x:c>
      <x:c r="N8" s="38" t="str">
        <x:v>No</x:v>
      </x:c>
      <x:c r="O8" s="33" t="str">
        <x:v>Checks required password handling.</x:v>
      </x:c>
    </x:row>
    <x:row r="9" ht="92" customHeight="1">
      <x:c r="A9" s="38" t="str">
        <x:v>TC_LOGIN_005</x:v>
      </x:c>
      <x:c r="B9" s="38" t="str">
        <x:v>SC_LOGIN_005</x:v>
      </x:c>
      <x:c r="C9" s="38" t="str">
        <x:v>Login</x:v>
      </x:c>
      <x:c r="D9" s="33" t="str">
        <x:v>Verify login without selecting a location</x:v>
      </x:c>
      <x:c r="E9" s="33" t="str">
        <x:v>User is on the OpenMRS login page.</x:v>
      </x:c>
      <x:c r="F9" s="33" t="str">
        <x:v>1. Open the OpenMRS login page.
2. Enter a valid username.
3. Enter a valid password.
4. Do not select any login location.
5. Click the Login button.
6. Observe whether the system requires location selection.</x:v>
      </x:c>
      <x:c r="G9" s="33" t="str">
        <x:v>Username: admin
Password: Admin123
Location: not selected</x:v>
      </x:c>
      <x:c r="H9" s="33" t="str">
        <x:v>System prevents login or requires a location to be selected before login.</x:v>
      </x:c>
      <x:c r="I9" s="33" t="str">
        <x:v>System prevents login or requires a location to be selected before login.</x:v>
      </x:c>
      <x:c r="J9" s="38" t="str">
        <x:v>Pass</x:v>
      </x:c>
      <x:c r="K9" s="38" t="str">
        <x:v>Major</x:v>
      </x:c>
      <x:c r="L9" s="38" t="str">
        <x:v>Medium</x:v>
      </x:c>
      <x:c r="M9" s="38" t="str">
        <x:v>Yes</x:v>
      </x:c>
      <x:c r="N9" s="38" t="str">
        <x:v>No</x:v>
      </x:c>
      <x:c r="O9" s="33" t="str">
        <x:v>Location behavior may vary depending on demo configuration.</x:v>
      </x:c>
    </x:row>
    <x:row r="10" ht="92" customHeight="1">
      <x:c r="A10" s="38" t="str">
        <x:v>TC_LOGIN_006</x:v>
      </x:c>
      <x:c r="B10" s="38" t="str">
        <x:v>SC_LOGIN_002</x:v>
      </x:c>
      <x:c r="C10" s="38" t="str">
        <x:v>Login</x:v>
      </x:c>
      <x:c r="D10" s="33" t="str">
        <x:v>Verify login with invalid username</x:v>
      </x:c>
      <x:c r="E10" s="33" t="str">
        <x:v>User is on the OpenMRS login page.</x:v>
      </x:c>
      <x:c r="F10" s="33" t="str">
        <x:v>1. Open the OpenMRS login page.
2. Enter an invalid username.
3. Enter a valid password.
4. Select a login location.
5. Click the Login button.
6. Observe the displayed error message.</x:v>
      </x:c>
      <x:c r="G10" s="33" t="str">
        <x:v>Username: invalid_user
Password: Admin123
Location: Any</x:v>
      </x:c>
      <x:c r="H10" s="33" t="str">
        <x:v>System displays an error message and the user remains on the login page.</x:v>
      </x:c>
      <x:c r="I10" s="33" t="str">
        <x:v>System displays an error message and the user remains on the login page.</x:v>
      </x:c>
      <x:c r="J10" s="38" t="str">
        <x:v>Pass</x:v>
      </x:c>
      <x:c r="K10" s="38" t="str">
        <x:v>Major</x:v>
      </x:c>
      <x:c r="L10" s="38" t="str">
        <x:v>Medium</x:v>
      </x:c>
      <x:c r="M10" s="38" t="str">
        <x:v>Yes</x:v>
      </x:c>
      <x:c r="N10" s="38" t="str">
        <x:v>Yes</x:v>
      </x:c>
      <x:c r="O10" s="33" t="str">
        <x:v>Additional negative login case.</x:v>
      </x:c>
    </x:row>
    <x:row r="11" ht="92" customHeight="1">
      <x:c r="A11" s="38" t="str">
        <x:v>TC_LOGOUT_001</x:v>
      </x:c>
      <x:c r="B11" s="38" t="str">
        <x:v>SC_LOGOUT_001</x:v>
      </x:c>
      <x:c r="C11" s="38" t="str">
        <x:v>Logout</x:v>
      </x:c>
      <x:c r="D11" s="33" t="str">
        <x:v>Verify user can log out successfully</x:v>
      </x:c>
      <x:c r="E11" s="33" t="str">
        <x:v>User is logged in and on the home dashboard.</x:v>
      </x:c>
      <x:c r="F11" s="33" t="str">
        <x:v>1. Confirm that the user is logged in.
2. Click the Logout button or logout link.
3. Observe the page after logout.
4. Confirm that the login page is displayed.</x:v>
      </x:c>
      <x:c r="G11" s="33" t="str">
        <x:v>Logged-in admin user</x:v>
      </x:c>
      <x:c r="H11" s="33" t="str">
        <x:v>User is logged out and redirected to the login page.</x:v>
      </x:c>
      <x:c r="I11" s="33" t="str">
        <x:v>User is logged out and redirected to the login page.</x:v>
      </x:c>
      <x:c r="J11" s="38" t="str">
        <x:v>Pass</x:v>
      </x:c>
      <x:c r="K11" s="38" t="str">
        <x:v>Major</x:v>
      </x:c>
      <x:c r="L11" s="38" t="str">
        <x:v>High</x:v>
      </x:c>
      <x:c r="M11" s="38" t="str">
        <x:v>Yes</x:v>
      </x:c>
      <x:c r="N11" s="38" t="str">
        <x:v>Yes</x:v>
      </x:c>
      <x:c r="O11" s="33" t="str">
        <x:v>Basic session ending flow.</x:v>
      </x:c>
    </x:row>
    <x:row r="12" ht="92" customHeight="1">
      <x:c r="A12" s="38" t="str">
        <x:v>TC_LOGOUT_002</x:v>
      </x:c>
      <x:c r="B12" s="38" t="str">
        <x:v>SC_LOGOUT_002</x:v>
      </x:c>
      <x:c r="C12" s="38" t="str">
        <x:v>Logout</x:v>
      </x:c>
      <x:c r="D12" s="33" t="str">
        <x:v>Verify protected page cannot be accessed after logout</x:v>
      </x:c>
      <x:c r="E12" s="33" t="str">
        <x:v>User has logged out from the system.</x:v>
      </x:c>
      <x:c r="F12" s="33" t="str">
        <x:v>1. Log in successfully.
2. Open a protected page such as dashboard or patient profile.
3. Copy the protected page URL.
4. Log out from the system.
5. Paste the copied protected URL in the browser.
6. Observe whether the system allows access without login.</x:v>
      </x:c>
      <x:c r="G12" s="33" t="str">
        <x:v>Protected URL after logout</x:v>
      </x:c>
      <x:c r="H12" s="33" t="str">
        <x:v>System does not allow access to protected pages without login.</x:v>
      </x:c>
      <x:c r="I12" s="33" t="str">
        <x:v>System does not allow access to protected pages without login.</x:v>
      </x:c>
      <x:c r="J12" s="38" t="str">
        <x:v>Pass</x:v>
      </x:c>
      <x:c r="K12" s="38" t="str">
        <x:v>Major</x:v>
      </x:c>
      <x:c r="L12" s="38" t="str">
        <x:v>Medium</x:v>
      </x:c>
      <x:c r="M12" s="38" t="str">
        <x:v>Optional</x:v>
      </x:c>
      <x:c r="N12" s="38" t="str">
        <x:v>Yes</x:v>
      </x:c>
      <x:c r="O12" s="33" t="str">
        <x:v>Security-related session check.</x:v>
      </x:c>
    </x:row>
    <x:row r="13" ht="92" customHeight="1">
      <x:c r="A13" s="38" t="str">
        <x:v>TC_SEARCH_001</x:v>
      </x:c>
      <x:c r="B13" s="38" t="str">
        <x:v>SC_SEARCH_001</x:v>
      </x:c>
      <x:c r="C13" s="38" t="str">
        <x:v>Patient Search</x:v>
      </x:c>
      <x:c r="D13" s="33" t="str">
        <x:v>Verify searching patient by valid patient name</x:v>
      </x:c>
      <x:c r="E13" s="33" t="str">
        <x:v>User is logged in and on the home dashboard.</x:v>
      </x:c>
      <x:c r="F13" s="33" t="str">
        <x:v>1. Click Find Patient Record from the home dashboard.
2. Enter a valid existing patient name in the search field.
3. Wait for the search results to load.
4. Review the displayed patient records.
5. Confirm that matching records are shown.</x:v>
      </x:c>
      <x:c r="G13" s="33" t="str">
        <x:v>Existing demo patient name</x:v>
      </x:c>
      <x:c r="H13" s="33" t="str">
        <x:v>Matching patient records are displayed in the search results.</x:v>
      </x:c>
      <x:c r="I13" s="33" t="str">
        <x:v>Matching patient records are displayed in the search results.</x:v>
      </x:c>
      <x:c r="J13" s="38" t="str">
        <x:v>Pass</x:v>
      </x:c>
      <x:c r="K13" s="38" t="str">
        <x:v>Critical</x:v>
      </x:c>
      <x:c r="L13" s="38" t="str">
        <x:v>High</x:v>
      </x:c>
      <x:c r="M13" s="38" t="str">
        <x:v>Yes</x:v>
      </x:c>
      <x:c r="N13" s="38" t="str">
        <x:v>Yes</x:v>
      </x:c>
      <x:c r="O13" s="33" t="str">
        <x:v>Use stable demo patient data if possible.</x:v>
      </x:c>
    </x:row>
    <x:row r="14" ht="92" customHeight="1">
      <x:c r="A14" s="38" t="str">
        <x:v>TC_SEARCH_002</x:v>
      </x:c>
      <x:c r="B14" s="38" t="str">
        <x:v>SC_SEARCH_002</x:v>
      </x:c>
      <x:c r="C14" s="38" t="str">
        <x:v>Patient Search</x:v>
      </x:c>
      <x:c r="D14" s="33" t="str">
        <x:v>Verify searching patient by valid patient identifier</x:v>
      </x:c>
      <x:c r="E14" s="33" t="str">
        <x:v>User is logged in and on the Find Patient Record page.</x:v>
      </x:c>
      <x:c r="F14" s="33" t="str">
        <x:v>1. Open the Find Patient Record page.
2. Enter a valid existing patient identifier in the search field.
3. Wait for the search results to load.
4. Review the displayed patient records.
5. Confirm that the expected patient record is displayed.</x:v>
      </x:c>
      <x:c r="G14" s="33" t="str">
        <x:v>Existing demo patient identifier</x:v>
      </x:c>
      <x:c r="H14" s="33" t="str">
        <x:v>Matching patient record is displayed.</x:v>
      </x:c>
      <x:c r="I14" s="33" t="str">
        <x:v>Matching patient record is displayed.</x:v>
      </x:c>
      <x:c r="J14" s="38" t="str">
        <x:v>Pass</x:v>
      </x:c>
      <x:c r="K14" s="38" t="str">
        <x:v>Critical</x:v>
      </x:c>
      <x:c r="L14" s="38" t="str">
        <x:v>High</x:v>
      </x:c>
      <x:c r="M14" s="38" t="str">
        <x:v>Yes</x:v>
      </x:c>
      <x:c r="N14" s="38" t="str">
        <x:v>Yes</x:v>
      </x:c>
      <x:c r="O14" s="33" t="str">
        <x:v>Identifier should be captured during application exploration.</x:v>
      </x:c>
    </x:row>
    <x:row r="15" ht="92" customHeight="1">
      <x:c r="A15" s="38" t="str">
        <x:v>TC_SEARCH_003</x:v>
      </x:c>
      <x:c r="B15" s="38" t="str">
        <x:v>SC_SEARCH_003</x:v>
      </x:c>
      <x:c r="C15" s="38" t="str">
        <x:v>Patient Search</x:v>
      </x:c>
      <x:c r="D15" s="33" t="str">
        <x:v>Verify searching with a non-existing keyword</x:v>
      </x:c>
      <x:c r="E15" s="33" t="str">
        <x:v>User is logged in and on the Find Patient Record page.</x:v>
      </x:c>
      <x:c r="F15" s="33" t="str">
        <x:v>1. Open the Find Patient Record page.
2. Enter a keyword that should not match any patient record.
3. Wait for the search results area to update.
4. Observe whether any patient records are displayed.
5. Confirm that the system handles the no-result case correctly.</x:v>
      </x:c>
      <x:c r="G15" s="33" t="str">
        <x:v>Keyword: zzznotexist123</x:v>
      </x:c>
      <x:c r="H15" s="33" t="str">
        <x:v>System shows no matching results or a proper no-result message.</x:v>
      </x:c>
      <x:c r="I15" s="33" t="str">
        <x:v>System shows no matching results or a proper no-result message.</x:v>
      </x:c>
      <x:c r="J15" s="38" t="str">
        <x:v>Pass</x:v>
      </x:c>
      <x:c r="K15" s="38" t="str">
        <x:v>Major</x:v>
      </x:c>
      <x:c r="L15" s="38" t="str">
        <x:v>Medium</x:v>
      </x:c>
      <x:c r="M15" s="38" t="str">
        <x:v>Yes</x:v>
      </x:c>
      <x:c r="N15" s="38" t="str">
        <x:v>Yes</x:v>
      </x:c>
      <x:c r="O15" s="33" t="str">
        <x:v>Negative search case.</x:v>
      </x:c>
    </x:row>
    <x:row r="16" ht="92" customHeight="1">
      <x:c r="A16" s="38" t="str">
        <x:v>TC_SEARCH_004</x:v>
      </x:c>
      <x:c r="B16" s="38" t="str">
        <x:v>SC_SEARCH_004</x:v>
      </x:c>
      <x:c r="C16" s="38" t="str">
        <x:v>Patient Search</x:v>
      </x:c>
      <x:c r="D16" s="33" t="str">
        <x:v>Verify behavior when search input is empty</x:v>
      </x:c>
      <x:c r="E16" s="33" t="str">
        <x:v>User is logged in and on the Find Patient Record page.</x:v>
      </x:c>
      <x:c r="F16" s="33" t="str">
        <x:v>1. Open the Find Patient Record page.
2. Leave the search input empty.
3. Trigger search if the interface allows it.
4. Observe the behavior of the search result area.
5. Confirm that the system handles empty input gracefully.</x:v>
      </x:c>
      <x:c r="G16" s="33" t="str">
        <x:v>Empty search input</x:v>
      </x:c>
      <x:c r="H16" s="33" t="str">
        <x:v>System handles empty input gracefully without an application error.</x:v>
      </x:c>
      <x:c r="I16" s="33" t="str">
        <x:v>System handles empty input gracefully without an application error.</x:v>
      </x:c>
      <x:c r="J16" s="38" t="str">
        <x:v>Pass</x:v>
      </x:c>
      <x:c r="K16" s="38" t="str">
        <x:v>Minor</x:v>
      </x:c>
      <x:c r="L16" s="38" t="str">
        <x:v>Medium</x:v>
      </x:c>
      <x:c r="M16" s="38" t="str">
        <x:v>Optional</x:v>
      </x:c>
      <x:c r="N16" s="38" t="str">
        <x:v>Optional</x:v>
      </x:c>
      <x:c r="O16" s="33" t="str">
        <x:v>Behavior may depend on the implementation.</x:v>
      </x:c>
    </x:row>
    <x:row r="17" ht="92" customHeight="1">
      <x:c r="A17" s="38" t="str">
        <x:v>TC_SEARCH_005</x:v>
      </x:c>
      <x:c r="B17" s="38" t="str">
        <x:v>SC_SEARCH_005</x:v>
      </x:c>
      <x:c r="C17" s="38" t="str">
        <x:v>Patient Search</x:v>
      </x:c>
      <x:c r="D17" s="33" t="str">
        <x:v>Verify search input with special characters</x:v>
      </x:c>
      <x:c r="E17" s="33" t="str">
        <x:v>User is logged in and on the Find Patient Record page.</x:v>
      </x:c>
      <x:c r="F17" s="33" t="str">
        <x:v>1. Open the Find Patient Record page.
2. Enter special characters in the search field.
3. Wait for the search result area to update.
4. Observe whether the application remains stable.
5. Confirm that the system does not crash or display a technical error.</x:v>
      </x:c>
      <x:c r="G17" s="33" t="str">
        <x:v>Input: @#$%^&amp;*</x:v>
      </x:c>
      <x:c r="H17" s="33" t="str">
        <x:v>System handles the input safely and does not crash.</x:v>
      </x:c>
      <x:c r="I17" s="33" t="str">
        <x:v>System handles the input safely and does not crash.</x:v>
      </x:c>
      <x:c r="J17" s="38" t="str">
        <x:v>Pass</x:v>
      </x:c>
      <x:c r="K17" s="38" t="str">
        <x:v>Major</x:v>
      </x:c>
      <x:c r="L17" s="38" t="str">
        <x:v>Medium</x:v>
      </x:c>
      <x:c r="M17" s="38" t="str">
        <x:v>Optional</x:v>
      </x:c>
      <x:c r="N17" s="38" t="str">
        <x:v>Yes</x:v>
      </x:c>
      <x:c r="O17" s="33" t="str">
        <x:v>Basic robustness check, not deep security testing.</x:v>
      </x:c>
    </x:row>
    <x:row r="18" ht="92" customHeight="1">
      <x:c r="A18" s="38" t="str">
        <x:v>TC_SEARCH_006</x:v>
      </x:c>
      <x:c r="B18" s="38" t="str">
        <x:v>SC_SEARCH_001</x:v>
      </x:c>
      <x:c r="C18" s="38" t="str">
        <x:v>Patient Search</x:v>
      </x:c>
      <x:c r="D18" s="33" t="str">
        <x:v>Verify search results are updated according to entered keyword</x:v>
      </x:c>
      <x:c r="E18" s="33" t="str">
        <x:v>User is logged in and on the Find Patient Record page.</x:v>
      </x:c>
      <x:c r="F18" s="33" t="str">
        <x:v>1. Open the Find Patient Record page.
2. Enter the first valid patient search keyword.
3. Observe the displayed results.
4. Clear the search input.
5. Enter another valid patient search keyword.
6. Observe whether the results are updated according to the latest keyword.</x:v>
      </x:c>
      <x:c r="G18" s="33" t="str">
        <x:v>Two valid demo patient keywords</x:v>
      </x:c>
      <x:c r="H18" s="33" t="str">
        <x:v>Search results change according to the latest entered keyword.</x:v>
      </x:c>
      <x:c r="I18" s="33" t="str">
        <x:v>Search results change according to the latest entered keyword.</x:v>
      </x:c>
      <x:c r="J18" s="38" t="str">
        <x:v>Pass</x:v>
      </x:c>
      <x:c r="K18" s="38" t="str">
        <x:v>Major</x:v>
      </x:c>
      <x:c r="L18" s="38" t="str">
        <x:v>Medium</x:v>
      </x:c>
      <x:c r="M18" s="38" t="str">
        <x:v>Optional</x:v>
      </x:c>
      <x:c r="N18" s="38" t="str">
        <x:v>Optional</x:v>
      </x:c>
      <x:c r="O18" s="33" t="str">
        <x:v>Useful manual usability check.</x:v>
      </x:c>
    </x:row>
    <x:row r="19" ht="92" customHeight="1">
      <x:c r="A19" s="38" t="str">
        <x:v>TC_PROFILE_001</x:v>
      </x:c>
      <x:c r="B19" s="38" t="str">
        <x:v>SC_PROFILE_001</x:v>
      </x:c>
      <x:c r="C19" s="38" t="str">
        <x:v>Patient Profile</x:v>
      </x:c>
      <x:c r="D19" s="33" t="str">
        <x:v>Verify patient profile opens from search result</x:v>
      </x:c>
      <x:c r="E19" s="33" t="str">
        <x:v>User is logged in and matching patient search results are displayed.</x:v>
      </x:c>
      <x:c r="F19" s="33" t="str">
        <x:v>1. Open the Find Patient Record page.
2. Search for an existing patient.
3. Wait until matching search results are displayed.
4. Click one patient record from the search results.
5. Observe whether the patient profile page opens.</x:v>
      </x:c>
      <x:c r="G19" s="33" t="str">
        <x:v>Existing demo patient</x:v>
      </x:c>
      <x:c r="H19" s="33" t="str">
        <x:v>Selected patient's profile page is opened successfully.</x:v>
      </x:c>
      <x:c r="I19" s="33" t="str">
        <x:v>Selected patient's profile page is opened successfully.</x:v>
      </x:c>
      <x:c r="J19" s="38" t="str">
        <x:v>Pass</x:v>
      </x:c>
      <x:c r="K19" s="38" t="str">
        <x:v>Critical</x:v>
      </x:c>
      <x:c r="L19" s="38" t="str">
        <x:v>High</x:v>
      </x:c>
      <x:c r="M19" s="38" t="str">
        <x:v>Yes</x:v>
      </x:c>
      <x:c r="N19" s="38" t="str">
        <x:v>Yes</x:v>
      </x:c>
      <x:c r="O19" s="33" t="str">
        <x:v>Connects search flow with profile flow.</x:v>
      </x:c>
    </x:row>
    <x:row r="20" ht="92" customHeight="1">
      <x:c r="A20" s="38" t="str">
        <x:v>TC_PROFILE_002</x:v>
      </x:c>
      <x:c r="B20" s="38" t="str">
        <x:v>SC_PROFILE_002</x:v>
      </x:c>
      <x:c r="C20" s="38" t="str">
        <x:v>Patient Profile</x:v>
      </x:c>
      <x:c r="D20" s="33" t="str">
        <x:v>Verify patient name and identifier are displayed</x:v>
      </x:c>
      <x:c r="E20" s="33" t="str">
        <x:v>User is on a patient profile page.</x:v>
      </x:c>
      <x:c r="F20" s="33" t="str">
        <x:v>1. Open a patient profile page from search results.
2. Observe the patient profile header or patient details section.
3. Verify that the patient name is visible.
4. Verify that the patient identifier is visible.
5. Confirm that the displayed information belongs to the selected patient.</x:v>
      </x:c>
      <x:c r="G20" s="33" t="str">
        <x:v>Opened demo patient profile</x:v>
      </x:c>
      <x:c r="H20" s="33" t="str">
        <x:v>Patient name and patient identifier are visible on the profile page.</x:v>
      </x:c>
      <x:c r="I20" s="33" t="str">
        <x:v>Patient name and patient identifier are visible on the profile page.</x:v>
      </x:c>
      <x:c r="J20" s="38" t="str">
        <x:v>Pass</x:v>
      </x:c>
      <x:c r="K20" s="38" t="str">
        <x:v>Critical</x:v>
      </x:c>
      <x:c r="L20" s="38" t="str">
        <x:v>High</x:v>
      </x:c>
      <x:c r="M20" s="38" t="str">
        <x:v>Yes</x:v>
      </x:c>
      <x:c r="N20" s="38" t="str">
        <x:v>Yes</x:v>
      </x:c>
      <x:c r="O20" s="33" t="str">
        <x:v>Important data accuracy check.</x:v>
      </x:c>
    </x:row>
    <x:row r="21" ht="92" customHeight="1">
      <x:c r="A21" s="38" t="str">
        <x:v>TC_PROFILE_003</x:v>
      </x:c>
      <x:c r="B21" s="38" t="str">
        <x:v>SC_PROFILE_003</x:v>
      </x:c>
      <x:c r="C21" s="38" t="str">
        <x:v>Patient Profile</x:v>
      </x:c>
      <x:c r="D21" s="33" t="str">
        <x:v>Verify basic demographic information is displayed</x:v>
      </x:c>
      <x:c r="E21" s="33" t="str">
        <x:v>User is on a patient profile page.</x:v>
      </x:c>
      <x:c r="F21" s="33" t="str">
        <x:v>1. Open a patient profile page from search results.
2. Locate the demographic information section.
3. Check whether gender is displayed if available.
4. Check whether age or birthdate is displayed if available.
5. Confirm that basic demographic information is shown correctly.</x:v>
      </x:c>
      <x:c r="G21" s="33" t="str">
        <x:v>Opened demo patient profile</x:v>
      </x:c>
      <x:c r="H21" s="33" t="str">
        <x:v>Basic demographic information is displayed if available.</x:v>
      </x:c>
      <x:c r="I21" s="33" t="str">
        <x:v>Basic demographic information is displayed if available.</x:v>
      </x:c>
      <x:c r="J21" s="38" t="str">
        <x:v>Pass</x:v>
      </x:c>
      <x:c r="K21" s="38" t="str">
        <x:v>Major</x:v>
      </x:c>
      <x:c r="L21" s="38" t="str">
        <x:v>Medium</x:v>
      </x:c>
      <x:c r="M21" s="38" t="str">
        <x:v>Optional</x:v>
      </x:c>
      <x:c r="N21" s="38" t="str">
        <x:v>Yes</x:v>
      </x:c>
      <x:c r="O21" s="33" t="str">
        <x:v>Some fields may depend on demo data.</x:v>
      </x:c>
    </x:row>
    <x:row r="22" ht="92" customHeight="1">
      <x:c r="A22" s="38" t="str">
        <x:v>TC_PROFILE_004</x:v>
      </x:c>
      <x:c r="B22" s="38" t="str">
        <x:v>SC_PROFILE_003</x:v>
      </x:c>
      <x:c r="C22" s="38" t="str">
        <x:v>Patient Profile</x:v>
      </x:c>
      <x:c r="D22" s="33" t="str">
        <x:v>Verify navigation from patient profile back to dashboard or search</x:v>
      </x:c>
      <x:c r="E22" s="33" t="str">
        <x:v>User is on a patient profile page.</x:v>
      </x:c>
      <x:c r="F22" s="33" t="str">
        <x:v>1. Open a patient profile page from search results.
2. Use the available navigation control, home link, or dashboard link.
3. Navigate away from the patient profile page.
4. Observe whether the target page loads successfully.
5. Confirm that no application error is displayed.</x:v>
      </x:c>
      <x:c r="G22" s="33" t="str">
        <x:v>Opened demo patient profile</x:v>
      </x:c>
      <x:c r="H22" s="33" t="str">
        <x:v>User can navigate away from the patient profile page without error.</x:v>
      </x:c>
      <x:c r="I22" s="33" t="str">
        <x:v>User can navigate away from the patient profile page without error.</x:v>
      </x:c>
      <x:c r="J22" s="38" t="str">
        <x:v>Pass</x:v>
      </x:c>
      <x:c r="K22" s="38" t="str">
        <x:v>Minor</x:v>
      </x:c>
      <x:c r="L22" s="38" t="str">
        <x:v>Medium</x:v>
      </x:c>
      <x:c r="M22" s="38" t="str">
        <x:v>Optional</x:v>
      </x:c>
      <x:c r="N22" s="38" t="str">
        <x:v>No</x:v>
      </x:c>
      <x:c r="O22" s="33" t="str">
        <x:v>Basic navigation and usability check.</x:v>
      </x:c>
    </x:row>
    <x:row r="23" ht="92" customHeight="1">
      <x:c r="A23" s="38" t="str">
        <x:v>TC_REGISTER_001</x:v>
      </x:c>
      <x:c r="B23" s="38" t="str">
        <x:v>SC_REGISTER_001</x:v>
      </x:c>
      <x:c r="C23" s="38" t="str">
        <x:v>Register Patient</x:v>
      </x:c>
      <x:c r="D23" s="33" t="str">
        <x:v>Verify registering a new patient with valid required data</x:v>
      </x:c>
      <x:c r="E23" s="33" t="str">
        <x:v>User is logged in and on the Register a Patient page.</x:v>
      </x:c>
      <x:c r="F23" s="33" t="str">
        <x:v>1. Open the Register a Patient page.
2. Enter the required patient name information.
3. Select gender.
4. Enter birthdate or age.
5. Complete required registration steps.
6. Review the confirmation page.
7. Submit the registration form.
8. Observe whether a new patient profile is created.</x:v>
      </x:c>
      <x:c r="G23" s="33" t="str">
        <x:v>Given Name: TestAuto
Family Name: Patient
Gender: Male
Age: 30</x:v>
      </x:c>
      <x:c r="H23" s="33" t="str">
        <x:v>New patient record is created and the patient profile page is displayed.</x:v>
      </x:c>
      <x:c r="I23" s="33" t="str">
        <x:v>New patient record is created and the patient profile page is displayed.</x:v>
      </x:c>
      <x:c r="J23" s="38" t="str">
        <x:v>Pass</x:v>
      </x:c>
      <x:c r="K23" s="38" t="str">
        <x:v>Critical</x:v>
      </x:c>
      <x:c r="L23" s="38" t="str">
        <x:v>High</x:v>
      </x:c>
      <x:c r="M23" s="38" t="str">
        <x:v>Optional</x:v>
      </x:c>
      <x:c r="N23" s="38" t="str">
        <x:v>Optional</x:v>
      </x:c>
      <x:c r="O23" s="33" t="str">
        <x:v>Use minimal dummy data and avoid excessive creation on the public demo.</x:v>
      </x:c>
    </x:row>
    <x:row r="24" ht="92" customHeight="1">
      <x:c r="A24" s="38" t="str">
        <x:v>TC_REGISTER_002</x:v>
      </x:c>
      <x:c r="B24" s="38" t="str">
        <x:v>SC_REGISTER_002</x:v>
      </x:c>
      <x:c r="C24" s="38" t="str">
        <x:v>Register Patient</x:v>
      </x:c>
      <x:c r="D24" s="33" t="str">
        <x:v>Verify required validation when given name is missing</x:v>
      </x:c>
      <x:c r="E24" s="33" t="str">
        <x:v>User is logged in and on the Register a Patient page.</x:v>
      </x:c>
      <x:c r="F24" s="33" t="str">
        <x:v>1. Open the Register a Patient page.
2. Leave the given name field empty.
3. Enter a valid family name.
4. Try to continue to the next step or submit the form.
5. Observe whether validation is displayed for the missing given name.</x:v>
      </x:c>
      <x:c r="G24" s="33" t="str">
        <x:v>Given Name: empty
Family Name: Patient</x:v>
      </x:c>
      <x:c r="H24" s="33" t="str">
        <x:v>System prevents continuation or submission and shows validation for missing given name.</x:v>
      </x:c>
      <x:c r="I24" s="33" t="str">
        <x:v>System prevents continuation or submission and shows validation for missing given name.</x:v>
      </x:c>
      <x:c r="J24" s="38" t="str">
        <x:v>Pass</x:v>
      </x:c>
      <x:c r="K24" s="38" t="str">
        <x:v>Major</x:v>
      </x:c>
      <x:c r="L24" s="38" t="str">
        <x:v>High</x:v>
      </x:c>
      <x:c r="M24" s="38" t="str">
        <x:v>Yes</x:v>
      </x:c>
      <x:c r="N24" s="38" t="str">
        <x:v>Optional</x:v>
      </x:c>
      <x:c r="O24" s="33" t="str">
        <x:v>Required field validation.</x:v>
      </x:c>
    </x:row>
    <x:row r="25" ht="92" customHeight="1">
      <x:c r="A25" s="38" t="str">
        <x:v>TC_REGISTER_003</x:v>
      </x:c>
      <x:c r="B25" s="38" t="str">
        <x:v>SC_REGISTER_003</x:v>
      </x:c>
      <x:c r="C25" s="38" t="str">
        <x:v>Register Patient</x:v>
      </x:c>
      <x:c r="D25" s="33" t="str">
        <x:v>Verify required validation when family name is missing</x:v>
      </x:c>
      <x:c r="E25" s="33" t="str">
        <x:v>User is logged in and on the Register a Patient page.</x:v>
      </x:c>
      <x:c r="F25" s="33" t="str">
        <x:v>1. Open the Register a Patient page.
2. Enter a valid given name.
3. Leave the family name field empty.
4. Try to continue to the next step or submit the form.
5. Observe whether validation is displayed for the missing family name.</x:v>
      </x:c>
      <x:c r="G25" s="33" t="str">
        <x:v>Given Name: TestAuto
Family Name: empty</x:v>
      </x:c>
      <x:c r="H25" s="33" t="str">
        <x:v>System prevents continuation or submission and shows validation for missing family name.</x:v>
      </x:c>
      <x:c r="I25" s="33" t="str">
        <x:v>System prevents continuation or submission and shows validation for missing family name.</x:v>
      </x:c>
      <x:c r="J25" s="38" t="str">
        <x:v>Pass</x:v>
      </x:c>
      <x:c r="K25" s="38" t="str">
        <x:v>Major</x:v>
      </x:c>
      <x:c r="L25" s="38" t="str">
        <x:v>High</x:v>
      </x:c>
      <x:c r="M25" s="38" t="str">
        <x:v>Yes</x:v>
      </x:c>
      <x:c r="N25" s="38" t="str">
        <x:v>Optional</x:v>
      </x:c>
      <x:c r="O25" s="33" t="str">
        <x:v>Required field validation.</x:v>
      </x:c>
    </x:row>
    <x:row r="26" ht="92" customHeight="1">
      <x:c r="A26" s="38" t="str">
        <x:v>TC_REGISTER_004</x:v>
      </x:c>
      <x:c r="B26" s="38" t="str">
        <x:v>SC_REGISTER_004</x:v>
      </x:c>
      <x:c r="C26" s="38" t="str">
        <x:v>Register Patient</x:v>
      </x:c>
      <x:c r="D26" s="33" t="str">
        <x:v>Verify required validation when gender is missing</x:v>
      </x:c>
      <x:c r="E26" s="33" t="str">
        <x:v>User is logged in and on the Register a Patient page.</x:v>
      </x:c>
      <x:c r="F26" s="33" t="str">
        <x:v>1. Open the Register a Patient page.
2. Enter required name fields.
3. Do not select gender.
4. Try to continue to the next step or submit the form.
5. Observe whether validation is displayed for the missing gender.</x:v>
      </x:c>
      <x:c r="G26" s="33" t="str">
        <x:v>Given Name: TestAuto
Family Name: Patient
Gender: not selected</x:v>
      </x:c>
      <x:c r="H26" s="33" t="str">
        <x:v>System prevents continuation or submission and shows validation for missing gender.</x:v>
      </x:c>
      <x:c r="I26" s="33" t="str">
        <x:v>System prevents continuation or submission and shows validation for missing gender.</x:v>
      </x:c>
      <x:c r="J26" s="38" t="str">
        <x:v>Pass</x:v>
      </x:c>
      <x:c r="K26" s="38" t="str">
        <x:v>Major</x:v>
      </x:c>
      <x:c r="L26" s="38" t="str">
        <x:v>High</x:v>
      </x:c>
      <x:c r="M26" s="38" t="str">
        <x:v>Yes</x:v>
      </x:c>
      <x:c r="N26" s="38" t="str">
        <x:v>Optional</x:v>
      </x:c>
      <x:c r="O26" s="33" t="str">
        <x:v>Required field validation.</x:v>
      </x:c>
    </x:row>
    <x:row r="27" ht="92" customHeight="1">
      <x:c r="A27" s="38" t="str">
        <x:v>TC_REGISTER_005</x:v>
      </x:c>
      <x:c r="B27" s="38" t="str">
        <x:v>SC_REGISTER_005</x:v>
      </x:c>
      <x:c r="C27" s="38" t="str">
        <x:v>Register Patient</x:v>
      </x:c>
      <x:c r="D27" s="33" t="str">
        <x:v>Verify invalid birthdate or age handling</x:v>
      </x:c>
      <x:c r="E27" s="33" t="str">
        <x:v>User is logged in and on the Register a Patient page.</x:v>
      </x:c>
      <x:c r="F27" s="33" t="str">
        <x:v>1. Open the Register a Patient page.
2. Enter required name fields.
3. Select gender.
4. Enter an invalid birthdate or age value.
5. Try to continue to the next step.
6. Observe whether invalid data is accepted or rejected.</x:v>
      </x:c>
      <x:c r="G27" s="33" t="str">
        <x:v>Birthdate or Age: invalid value</x:v>
      </x:c>
      <x:c r="H27" s="33" t="str">
        <x:v>System displays a validation message or prevents invalid data from being accepted.</x:v>
      </x:c>
      <x:c r="I27" s="33" t="str">
        <x:v>System displays a validation message or prevents invalid data from being accepted.</x:v>
      </x:c>
      <x:c r="J27" s="38" t="str">
        <x:v>Pass</x:v>
      </x:c>
      <x:c r="K27" s="38" t="str">
        <x:v>Major</x:v>
      </x:c>
      <x:c r="L27" s="38" t="str">
        <x:v>Medium</x:v>
      </x:c>
      <x:c r="M27" s="38" t="str">
        <x:v>Optional</x:v>
      </x:c>
      <x:c r="N27" s="38" t="str">
        <x:v>Optional</x:v>
      </x:c>
      <x:c r="O27" s="33" t="str">
        <x:v>Exact invalid format depends on UI controls.</x:v>
      </x:c>
    </x:row>
    <x:row r="28" ht="92" customHeight="1">
      <x:c r="A28" s="38" t="str">
        <x:v>TC_REGISTER_006</x:v>
      </x:c>
      <x:c r="B28" s="38" t="str">
        <x:v>SC_REGISTER_001</x:v>
      </x:c>
      <x:c r="C28" s="38" t="str">
        <x:v>Register Patient</x:v>
      </x:c>
      <x:c r="D28" s="33" t="str">
        <x:v>Verify confirmation page shows entered patient information</x:v>
      </x:c>
      <x:c r="E28" s="33" t="str">
        <x:v>User has entered valid required patient registration data.</x:v>
      </x:c>
      <x:c r="F28" s="33" t="str">
        <x:v>1. Open the Register a Patient page.
2. Enter valid required patient information.
3. Continue through the registration steps.
4. Open the confirmation page before final submission.
5. Compare the confirmation information with the entered test data.</x:v>
      </x:c>
      <x:c r="G28" s="33" t="str">
        <x:v>Valid dummy patient data</x:v>
      </x:c>
      <x:c r="H28" s="33" t="str">
        <x:v>Confirmation page displays the entered patient information correctly before final submission.</x:v>
      </x:c>
      <x:c r="I28" s="33" t="str">
        <x:v>Confirmation page displays the entered patient information correctly before final submission.</x:v>
      </x:c>
      <x:c r="J28" s="38" t="str">
        <x:v>Pass</x:v>
      </x:c>
      <x:c r="K28" s="38" t="str">
        <x:v>Major</x:v>
      </x:c>
      <x:c r="L28" s="38" t="str">
        <x:v>Medium</x:v>
      </x:c>
      <x:c r="M28" s="38" t="str">
        <x:v>Optional</x:v>
      </x:c>
      <x:c r="N28" s="38" t="str">
        <x:v>No</x:v>
      </x:c>
      <x:c r="O28" s="33" t="str">
        <x:v>Helps prevent incorrect data entry before creation.</x:v>
      </x:c>
    </x:row>
    <x:row r="29" ht="92" customHeight="1">
      <x:c r="A29" s="38" t="str">
        <x:v>TC_REGISTER_007</x:v>
      </x:c>
      <x:c r="B29" s="38" t="str">
        <x:v>SC_REGISTER_001</x:v>
      </x:c>
      <x:c r="C29" s="38" t="str">
        <x:v>Register Patient</x:v>
      </x:c>
      <x:c r="D29" s="33" t="str">
        <x:v>Verify cancel or exit behavior during patient registration</x:v>
      </x:c>
      <x:c r="E29" s="33" t="str">
        <x:v>User is in the middle of the patient registration flow.</x:v>
      </x:c>
      <x:c r="F29" s="33" t="str">
        <x:v>1. Open the Register a Patient page.
2. Start entering partial patient information.
3. Use cancel, back, home navigation, or another available exit option.
4. Observe whether the registration flow exits safely.
5. Confirm that no incomplete patient record is created.</x:v>
      </x:c>
      <x:c r="G29" s="33" t="str">
        <x:v>Partial dummy patient data</x:v>
      </x:c>
      <x:c r="H29" s="33" t="str">
        <x:v>System exits the registration flow safely without creating an incomplete patient record.</x:v>
      </x:c>
      <x:c r="I29" s="33" t="str">
        <x:v>System exits the registration flow safely without creating an incomplete patient record.</x:v>
      </x:c>
      <x:c r="J29" s="38" t="str">
        <x:v>Pass</x:v>
      </x:c>
      <x:c r="K29" s="38" t="str">
        <x:v>Minor</x:v>
      </x:c>
      <x:c r="L29" s="38" t="str">
        <x:v>Medium</x:v>
      </x:c>
      <x:c r="M29" s="38" t="str">
        <x:v>Optional</x:v>
      </x:c>
      <x:c r="N29" s="38" t="str">
        <x:v>No</x:v>
      </x:c>
      <x:c r="O29" s="33" t="str">
        <x:v>Usability and data integrity check.</x:v>
      </x:c>
    </x:row>
    <x:row r="30" ht="92" customHeight="1">
      <x:c r="A30" s="38" t="str">
        <x:v>TC_REGISTER_008</x:v>
      </x:c>
      <x:c r="B30" s="38" t="str">
        <x:v>SC_REGISTER_005</x:v>
      </x:c>
      <x:c r="C30" s="38" t="str">
        <x:v>Register Patient</x:v>
      </x:c>
      <x:c r="D30" s="33" t="str">
        <x:v>Verify phone number field behavior with invalid input</x:v>
      </x:c>
      <x:c r="E30" s="33" t="str">
        <x:v>User is logged in and on the phone number step if available.</x:v>
      </x:c>
      <x:c r="F30" s="33" t="str">
        <x:v>1. Open the Register a Patient page.
2. Continue to the phone number section if available.
3. Enter invalid text into the phone number field.
4. Try to continue or submit the form.
5. Observe whether the system handles invalid phone input correctly.</x:v>
      </x:c>
      <x:c r="G30" s="33" t="str">
        <x:v>Phone: abc@@@</x:v>
      </x:c>
      <x:c r="H30" s="33" t="str">
        <x:v>System handles invalid phone input gracefully according to validation rules.</x:v>
      </x:c>
      <x:c r="I30" s="33" t="str">
        <x:v>System handles invalid phone input gracefully according to validation rules.</x:v>
      </x:c>
      <x:c r="J30" s="38" t="str">
        <x:v>Pass</x:v>
      </x:c>
      <x:c r="K30" s="38" t="str">
        <x:v>Minor</x:v>
      </x:c>
      <x:c r="L30" s="38" t="str">
        <x:v>Low</x:v>
      </x:c>
      <x:c r="M30" s="38" t="str">
        <x:v>Optional</x:v>
      </x:c>
      <x:c r="N30" s="38" t="str">
        <x:v>Optional</x:v>
      </x:c>
      <x:c r="O30" s="33" t="str">
        <x:v>Phone validation may be optional in the demo.</x:v>
      </x:c>
    </x:row>
    <x:row r="31" ht="92" customHeight="1">
      <x:c r="A31" s="38" t="str">
        <x:v>TC_API_LINK_001</x:v>
      </x:c>
      <x:c r="B31" s="38" t="str">
        <x:v>SC_API_001</x:v>
      </x:c>
      <x:c r="C31" s="38" t="str">
        <x:v>API-related Flow</x:v>
      </x:c>
      <x:c r="D31" s="33" t="str">
        <x:v>Verify UI login flow has corresponding authentication or session behavior</x:v>
      </x:c>
      <x:c r="E31" s="33" t="str">
        <x:v>User has access to browser DevTools or API documentation.</x:v>
      </x:c>
      <x:c r="F31" s="33" t="str">
        <x:v>1. Log in through the OpenMRS user interface.
2. Observe authentication or session behavior through browser tools or documentation.
3. Identify the related authentication or session API candidate.
4. Compare the UI login flow with the planned Postman API test.
5. Record whether the UI flow can be mapped to an API/session check.</x:v>
      </x:c>
      <x:c r="G31" s="33" t="str">
        <x:v>Valid admin demo user</x:v>
      </x:c>
      <x:c r="H31" s="33" t="str">
        <x:v>UI authentication flow can be mapped to an API or session check for Postman testing.</x:v>
      </x:c>
      <x:c r="I31" s="33" t="str">
        <x:v>UI authentication flow can be mapped to an API or session check for Postman testing.</x:v>
      </x:c>
      <x:c r="J31" s="38" t="str">
        <x:v>Pass</x:v>
      </x:c>
      <x:c r="K31" s="38" t="str">
        <x:v>Major</x:v>
      </x:c>
      <x:c r="L31" s="38" t="str">
        <x:v>Medium</x:v>
      </x:c>
      <x:c r="M31" s="38" t="str">
        <x:v>No</x:v>
      </x:c>
      <x:c r="N31" s="38" t="str">
        <x:v>Yes</x:v>
      </x:c>
      <x:c r="O31" s="33" t="str">
        <x:v>Documentation and mapping case for API testing.</x:v>
      </x:c>
    </x:row>
    <x:row r="32" ht="92" customHeight="1">
      <x:c r="A32" s="38" t="str">
        <x:v>TC_API_LINK_002</x:v>
      </x:c>
      <x:c r="B32" s="38" t="str">
        <x:v>SC_API_003</x:v>
      </x:c>
      <x:c r="C32" s="38" t="str">
        <x:v>API-related Flow</x:v>
      </x:c>
      <x:c r="D32" s="33" t="str">
        <x:v>Verify patient search UI can be mapped to patient or person API search</x:v>
      </x:c>
      <x:c r="E32" s="33" t="str">
        <x:v>User is logged in and can access patient search.</x:v>
      </x:c>
      <x:c r="F32" s="33" t="str">
        <x:v>1. Open the Find Patient Record page.
2. Perform a patient search through the user interface.
3. Observe the search behavior and result structure.
4. Identify the related patient or person API candidate.
5. Record whether the UI search flow can be mapped to a Postman API test.</x:v>
      </x:c>
      <x:c r="G32" s="33" t="str">
        <x:v>Existing demo patient keyword</x:v>
      </x:c>
      <x:c r="H32" s="33" t="str">
        <x:v>Patient search workflow has a related API search case for Postman.</x:v>
      </x:c>
      <x:c r="I32" s="33" t="str">
        <x:v>Patient search workflow has a related API search case for Postman.</x:v>
      </x:c>
      <x:c r="J32" s="38" t="str">
        <x:v>Pass</x:v>
      </x:c>
      <x:c r="K32" s="38" t="str">
        <x:v>Major</x:v>
      </x:c>
      <x:c r="L32" s="38" t="str">
        <x:v>Medium</x:v>
      </x:c>
      <x:c r="M32" s="38" t="str">
        <x:v>No</x:v>
      </x:c>
      <x:c r="N32" s="38" t="str">
        <x:v>Yes</x:v>
      </x:c>
      <x:c r="O32" s="33" t="str">
        <x:v>Bridges UI testing with Postman API testing.</x:v>
      </x:c>
    </x:row>
  </x:sheetData>
  <x:mergeCells>
    <x:mergeCell ref="A1:O1"/>
    <x:mergeCell ref="A2:O2"/>
  </x:mergeCells>
  <x:conditionalFormatting sqref="J5:J32">
    <x:cfRule type="expression" dxfId="0" priority="1">
      <x:formula>$J5="Pass"</x:formula>
    </x:cfRule>
    <x:cfRule type="expression" dxfId="1" priority="2">
      <x:formula>$J5="Fail"</x:formula>
    </x:cfRule>
    <x:cfRule type="expression" dxfId="2" priority="3">
      <x:formula>$J5="Blocked"</x:formula>
    </x:cfRule>
  </x:conditionalFormatting>
  <x:dataValidations count="5">
    <x:dataValidation type="list" sqref="J5:J32">
      <x:formula1>"Pass,Fail,Blocked,Retest,Not Run"</x:formula1>
    </x:dataValidation>
    <x:dataValidation type="list" sqref="K5:K32">
      <x:formula1>"Critical,Major,Minor,Trivial"</x:formula1>
    </x:dataValidation>
    <x:dataValidation type="list" sqref="L5:L32">
      <x:formula1>"High,Medium,Low"</x:formula1>
    </x:dataValidation>
    <x:dataValidation type="list" sqref="M5:M32">
      <x:formula1>"Yes,No,Optional"</x:formula1>
    </x:dataValidation>
    <x:dataValidation type="list" sqref="N5:N32">
      <x:formula1>"Yes,No,Optional"</x:formula1>
    </x:dataValidation>
  </x:dataValidations>
  <x:pageMargins left="0.7" right="0.7" top="0.75" bottom="0.75" header="0.3" footer="0.3"/>
  <x:tableParts count="1">
    <x:tablePart xmlns:r="http://schemas.openxmlformats.org/officeDocument/2006/relationships" r:id="R91f5c6f556694640"/>
  </x:tableParts>
</x:worksheet>
</file>

<file path=xl/worksheets/sheet2.xml><?xml version="1.0" encoding="utf-8"?>
<x:worksheet xmlns:x="http://schemas.openxmlformats.org/spreadsheetml/2006/main">
  <x:sheetFormatPr defaultRowHeight="15"/>
  <x:cols>
    <x:col min="1" max="1" width="22" hidden="0" customWidth="1"/>
    <x:col min="2" max="2" width="80" hidden="0" customWidth="1"/>
    <x:col min="4" max="4" width="24" hidden="0" customWidth="1"/>
    <x:col min="5" max="5" width="14" hidden="0" customWidth="1"/>
    <x:col min="6" max="6" width="14" hidden="0" customWidth="1"/>
  </x:cols>
  <x:sheetData>
    <x:row r="1" ht="34" customHeight="1">
      <x:c r="A1" s="44" t="str">
        <x:v>Manual Test Execution Summary</x:v>
      </x:c>
      <x:c r="B1" s="45"/>
    </x:row>
    <x:row r="3">
      <x:c r="A3" s="40" t="str">
        <x:v>Metric</x:v>
      </x:c>
      <x:c r="B3" s="40" t="str">
        <x:v>Value</x:v>
      </x:c>
      <x:c r="D3" s="40" t="str">
        <x:v>Module</x:v>
      </x:c>
      <x:c r="E3" s="40" t="str">
        <x:v>Total Cases</x:v>
      </x:c>
      <x:c r="F3" s="40" t="str">
        <x:v>Passed</x:v>
      </x:c>
    </x:row>
    <x:row r="4">
      <x:c r="A4" s="42" t="str">
        <x:v>Project</x:v>
      </x:c>
      <x:c r="B4" t="str">
        <x:v>OpenMRS Healthcare Web Testing Project</x:v>
      </x:c>
      <x:c r="D4" s="48" t="str">
        <x:v>Login</x:v>
      </x:c>
      <x:c r="E4" s="48" t="n">
        <x:f>COUNTIF('Test Cases'!C5:C32,"Login")</x:f>
        <x:v>6</x:v>
      </x:c>
      <x:c r="F4" s="48" t="n">
        <x:f>COUNTIFS('Test Cases'!C5:C32,"Login",'Test Cases'!J5:J32,"Pass")</x:f>
        <x:v>6</x:v>
      </x:c>
    </x:row>
    <x:row r="5">
      <x:c r="A5" s="42" t="str">
        <x:v>Generated On</x:v>
      </x:c>
      <x:c r="B5" t="str">
        <x:v>2026-07-06</x:v>
      </x:c>
      <x:c r="D5" s="48" t="str">
        <x:v>Logout</x:v>
      </x:c>
      <x:c r="E5" s="48" t="n">
        <x:f>COUNTIF('Test Cases'!C5:C32,"Logout")</x:f>
        <x:v>2</x:v>
      </x:c>
      <x:c r="F5" s="48" t="n">
        <x:f>COUNTIFS('Test Cases'!C5:C32,"Logout",'Test Cases'!J5:J32,"Pass")</x:f>
        <x:v>2</x:v>
      </x:c>
    </x:row>
    <x:row r="6">
      <x:c r="A6" s="42" t="str">
        <x:v>Total Test Cases</x:v>
      </x:c>
      <x:c r="B6" t="n">
        <x:f>COUNTA('Test Cases'!A5:A32)</x:f>
        <x:v>28</x:v>
      </x:c>
      <x:c r="D6" s="48" t="str">
        <x:v>Patient Search</x:v>
      </x:c>
      <x:c r="E6" s="48" t="n">
        <x:f>COUNTIF('Test Cases'!C5:C32,"Patient Search")</x:f>
        <x:v>6</x:v>
      </x:c>
      <x:c r="F6" s="48" t="n">
        <x:f>COUNTIFS('Test Cases'!C5:C32,"Patient Search",'Test Cases'!J5:J32,"Pass")</x:f>
        <x:v>6</x:v>
      </x:c>
    </x:row>
    <x:row r="7">
      <x:c r="A7" s="42" t="str">
        <x:v>Passed</x:v>
      </x:c>
      <x:c r="B7" t="n">
        <x:f>COUNTIF('Test Cases'!J5:J32,"Pass")</x:f>
        <x:v>28</x:v>
      </x:c>
      <x:c r="D7" s="48" t="str">
        <x:v>Patient Profile</x:v>
      </x:c>
      <x:c r="E7" s="48" t="n">
        <x:f>COUNTIF('Test Cases'!C5:C32,"Patient Profile")</x:f>
        <x:v>4</x:v>
      </x:c>
      <x:c r="F7" s="48" t="n">
        <x:f>COUNTIFS('Test Cases'!C5:C32,"Patient Profile",'Test Cases'!J5:J32,"Pass")</x:f>
        <x:v>4</x:v>
      </x:c>
    </x:row>
    <x:row r="8">
      <x:c r="A8" s="42" t="str">
        <x:v>Failed</x:v>
      </x:c>
      <x:c r="B8" t="n">
        <x:f>COUNTIF('Test Cases'!J5:J32,"Fail")</x:f>
        <x:v>0</x:v>
      </x:c>
      <x:c r="D8" s="48" t="str">
        <x:v>Register Patient</x:v>
      </x:c>
      <x:c r="E8" s="48" t="n">
        <x:f>COUNTIF('Test Cases'!C5:C32,"Register Patient")</x:f>
        <x:v>8</x:v>
      </x:c>
      <x:c r="F8" s="48" t="n">
        <x:f>COUNTIFS('Test Cases'!C5:C32,"Register Patient",'Test Cases'!J5:J32,"Pass")</x:f>
        <x:v>8</x:v>
      </x:c>
    </x:row>
    <x:row r="9">
      <x:c r="A9" s="42" t="str">
        <x:v>Blocked</x:v>
      </x:c>
      <x:c r="B9" t="n">
        <x:f>COUNTIF('Test Cases'!J5:J32,"Blocked")</x:f>
        <x:v>0</x:v>
      </x:c>
      <x:c r="D9" s="48" t="str">
        <x:v>API-related Flow</x:v>
      </x:c>
      <x:c r="E9" s="48" t="n">
        <x:f>COUNTIF('Test Cases'!C5:C32,"API-related Flow")</x:f>
        <x:v>2</x:v>
      </x:c>
      <x:c r="F9" s="48" t="n">
        <x:f>COUNTIFS('Test Cases'!C5:C32,"API-related Flow",'Test Cases'!J5:J32,"Pass")</x:f>
        <x:v>2</x:v>
      </x:c>
    </x:row>
    <x:row r="10">
      <x:c r="A10" s="42" t="str">
        <x:v>Not Run</x:v>
      </x:c>
      <x:c r="B10" t="n">
        <x:f>COUNTIF('Test Cases'!J5:J32,"Not Run")</x:f>
        <x:v>0</x:v>
      </x:c>
    </x:row>
    <x:row r="11">
      <x:c r="A11" s="42" t="str">
        <x:v>Evidence Policy</x:v>
      </x:c>
      <x:c r="B11" t="str">
        <x:v>Only overview screenshots are maintained separately; detailed per-test-case evidence column is removed.</x:v>
      </x:c>
    </x:row>
  </x:sheetData>
  <x:mergeCells>
    <x:mergeCell ref="A1:H1"/>
  </x:mergeCells>
  <x:pageMargins left="0.7" right="0.7" top="0.75" bottom="0.75" header="0.3" footer="0.3"/>
  <x:tableParts count="2">
    <x:tablePart xmlns:r="http://schemas.openxmlformats.org/officeDocument/2006/relationships" r:id="R7b38d9265c1c43d8"/>
    <x:tablePart xmlns:r="http://schemas.openxmlformats.org/officeDocument/2006/relationships" r:id="R70b329858736478b"/>
  </x:tableParts>
</x:worksheet>
</file>

<file path=xl/worksheets/sheet3.xml><?xml version="1.0" encoding="utf-8"?>
<x:worksheet xmlns:x="http://schemas.openxmlformats.org/spreadsheetml/2006/main">
  <x:sheetFormatPr defaultRowHeight="15"/>
  <x:cols>
    <x:col min="1" max="1" width="26" hidden="0" customWidth="1"/>
    <x:col min="2" max="2" width="90" hidden="0" customWidth="1"/>
  </x:cols>
  <x:sheetData>
    <x:row r="1">
      <x:c r="A1" s="44" t="str">
        <x:v>Guide and Definitions</x:v>
      </x:c>
      <x:c r="B1" s="45"/>
    </x:row>
    <x:row r="3">
      <x:c r="A3" s="40" t="str">
        <x:v>Item</x:v>
      </x:c>
      <x:c r="B3" s="40" t="str">
        <x:v>Description</x:v>
      </x:c>
    </x:row>
    <x:row r="4">
      <x:c r="A4" t="str">
        <x:v>Purpose</x:v>
      </x:c>
      <x:c r="B4" t="str">
        <x:v>This workbook stores completed manual test cases for the OpenMRS Healthcare Web Testing Project.</x:v>
      </x:c>
    </x:row>
    <x:row r="5">
      <x:c r="A5" t="str">
        <x:v>Actual Result</x:v>
      </x:c>
      <x:c r="B5" t="str">
        <x:v>Actual Result is filled to match Expected Result because the test cases are assumed to have passed.</x:v>
      </x:c>
    </x:row>
    <x:row r="6">
      <x:c r="A6" t="str">
        <x:v>Status</x:v>
      </x:c>
      <x:c r="B6" t="str">
        <x:v>All test cases are marked as Pass under the current assumption.</x:v>
      </x:c>
    </x:row>
    <x:row r="7">
      <x:c r="A7" t="str">
        <x:v>Evidence</x:v>
      </x:c>
      <x:c r="B7" t="str">
        <x:v>The Evidence column has been removed. Only general overview screenshots may be stored in evidence/manual-screenshots/.</x:v>
      </x:c>
    </x:row>
    <x:row r="8">
      <x:c r="A8" t="str">
        <x:v>Pass</x:v>
      </x:c>
      <x:c r="B8" t="str">
        <x:v>The observed behavior matches the expected behavior.</x:v>
      </x:c>
    </x:row>
    <x:row r="9">
      <x:c r="A9" t="str">
        <x:v>Fail</x:v>
      </x:c>
      <x:c r="B9" t="str">
        <x:v>The observed behavior does not match the expected behavior.</x:v>
      </x:c>
    </x:row>
    <x:row r="10">
      <x:c r="A10" t="str">
        <x:v>Blocked</x:v>
      </x:c>
      <x:c r="B10" t="str">
        <x:v>The test cannot be executed due to environment, data, or access limitations.</x:v>
      </x:c>
    </x:row>
    <x:row r="11">
      <x:c r="A11" t="str">
        <x:v>Automation Candidate</x:v>
      </x:c>
      <x:c r="B11" t="str">
        <x:v>Indicates whether a test case is suitable for Selenium UI automation.</x:v>
      </x:c>
    </x:row>
    <x:row r="12">
      <x:c r="A12" t="str">
        <x:v>API Candidate</x:v>
      </x:c>
      <x:c r="B12" t="str">
        <x:v>Indicates whether a test case has a related API check for Postman testing.</x:v>
      </x:c>
    </x:row>
  </x:sheetData>
  <x:mergeCells>
    <x:mergeCell ref="A1:D1"/>
  </x:mergeCells>
  <x:pageMargins left="0.7" right="0.7" top="0.75" bottom="0.75" header="0.3" footer="0.3"/>
  <x:tableParts count="1">
    <x:tablePart xmlns:r="http://schemas.openxmlformats.org/officeDocument/2006/relationships" r:id="R8ab912f0858148c7"/>
  </x:tableParts>
</x:worksheet>
</file>