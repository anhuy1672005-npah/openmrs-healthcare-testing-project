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16a1b9d23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db330cd34444a0d"/>
    <x:sheet xmlns:r="http://schemas.openxmlformats.org/officeDocument/2006/relationships" name="Summary" sheetId="2" r:id="Rc53285839b72440d"/>
    <x:sheet xmlns:r="http://schemas.openxmlformats.org/officeDocument/2006/relationships" name="Guide" sheetId="3" r:id="R23a072972196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8698a8e69486f" /><Relationship Type="http://schemas.openxmlformats.org/officeDocument/2006/relationships/theme" Target="/xl/theme/theme1.xml" Id="Reae3e3dfe23a4173" /><Relationship Type="http://schemas.openxmlformats.org/officeDocument/2006/relationships/sharedStrings" Target="/xl/sharedStrings.xml" Id="R9909836e68334069" /><Relationship Type="http://schemas.openxmlformats.org/officeDocument/2006/relationships/worksheet" Target="/xl/worksheets/sheet1.xml" Id="Rfdb330cd34444a0d" /><Relationship Type="http://schemas.openxmlformats.org/officeDocument/2006/relationships/worksheet" Target="/xl/worksheets/sheet2.xml" Id="Rc53285839b72440d" /><Relationship Type="http://schemas.openxmlformats.org/officeDocument/2006/relationships/worksheet" Target="/xl/worksheets/sheet3.xml" Id="R23a0729721964bc6" /></Relationships>
</file>

<file path=xl/tables/table1.xml><?xml version="1.0" encoding="utf-8"?>
<x:table xmlns:x="http://schemas.openxmlformats.org/spreadsheetml/2006/main" id="1" name="ManualTestCasesTable" displayName="ManualTestCasesTable" ref="A1:P29" headerRowCount="1">
  <x:tableColumns count="16">
    <x:tableColumn id="1" name="Test Case ID"/>
    <x:tableColumn id="2" name="Scenario ID"/>
    <x:tableColumn id="3" name="Module"/>
    <x:tableColumn id="4" name="Test Title"/>
    <x:tableColumn id="5" name="Pre-condition"/>
    <x:tableColumn id="6" name="Test Steps"/>
    <x:tableColumn id="7" name="Test Data"/>
    <x:tableColumn id="8" name="Expected Result"/>
    <x:tableColumn id="9" name="Actual Result"/>
    <x:tableColumn id="10" name="Status"/>
    <x:tableColumn id="11" name="Severity"/>
    <x:tableColumn id="12" name="Priority"/>
    <x:tableColumn id="13" name="Automation Candidate"/>
    <x:tableColumn id="14" name="API Candidate"/>
    <x:tableColumn id="15" name="Evidenc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2:B8" headerRowCount="0">
  <x:tableColumns count="2">
    <x:tableColumn id="1" name="Column1"/>
    <x:tableColumn id="2" name="Column2"/>
  </x:tableColumns>
  <x:tableStyleInfo name="TableStyleMedium2" showRowStripes="1"/>
</x:table>
</file>

<file path=xl/tables/table3.xml><?xml version="1.0" encoding="utf-8"?>
<x:table xmlns:x="http://schemas.openxmlformats.org/spreadsheetml/2006/main" id="3" name="GuideTable" displayName="GuideTable" ref="A1:B7" headerRowCount="1">
  <x:tableColumns count="2">
    <x:tableColumn id="1" name="Guide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81f76cb4d1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575333f76c4e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0ce979956c4b4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6" hidden="0" customWidth="1"/>
    <x:col min="5" max="5" width="34" hidden="0" customWidth="1"/>
    <x:col min="6" max="6" width="44" hidden="0" customWidth="1"/>
    <x:col min="7" max="7" width="28" hidden="0" customWidth="1"/>
    <x:col min="8" max="8" width="42" hidden="0" customWidth="1"/>
    <x:col min="9" max="9" width="28" hidden="0" customWidth="1"/>
    <x:col min="10" max="10" width="14" hidden="0" customWidth="1"/>
    <x:col min="11" max="11" width="14" hidden="0" customWidth="1"/>
    <x:col min="12" max="12" width="12" hidden="0" customWidth="1"/>
    <x:col min="13" max="13" width="18" hidden="0" customWidth="1"/>
    <x:col min="14" max="14" width="15" hidden="0" customWidth="1"/>
    <x:col min="15" max="15" width="22" hidden="0" customWidth="1"/>
    <x:col min="16" max="16" width="30" hidden="0" customWidth="1"/>
  </x:cols>
  <x:sheetData>
    <x:row r="1" ht="28" customHeight="1">
      <x:c r="A1" s="5" t="str">
        <x:v>Test Case ID</x:v>
      </x:c>
      <x:c r="B1" s="5" t="str">
        <x:v>Scenario ID</x:v>
      </x:c>
      <x:c r="C1" s="5" t="str">
        <x:v>Module</x:v>
      </x:c>
      <x:c r="D1" s="5" t="str">
        <x:v>Test Title</x:v>
      </x:c>
      <x:c r="E1" s="5" t="str">
        <x:v>Pre-condition</x:v>
      </x:c>
      <x:c r="F1" s="5" t="str">
        <x:v>Test Steps</x:v>
      </x:c>
      <x:c r="G1" s="5" t="str">
        <x:v>Test Data</x:v>
      </x:c>
      <x:c r="H1" s="5" t="str">
        <x:v>Expected Result</x:v>
      </x:c>
      <x:c r="I1" s="5" t="str">
        <x:v>Actual Result</x:v>
      </x:c>
      <x:c r="J1" s="5" t="str">
        <x:v>Status</x:v>
      </x:c>
      <x:c r="K1" s="5" t="str">
        <x:v>Severity</x:v>
      </x:c>
      <x:c r="L1" s="5" t="str">
        <x:v>Priority</x:v>
      </x:c>
      <x:c r="M1" s="5" t="str">
        <x:v>Automation Candidate</x:v>
      </x:c>
      <x:c r="N1" s="5" t="str">
        <x:v>API Candidate</x:v>
      </x:c>
      <x:c r="O1" s="5" t="str">
        <x:v>Evidence</x:v>
      </x:c>
      <x:c r="P1" s="5" t="str">
        <x:v>Notes</x:v>
      </x:c>
    </x:row>
    <x:row r="2">
      <x:c r="A2" s="12" t="str">
        <x:v>TC_LOGIN_001</x:v>
      </x:c>
      <x:c r="B2" s="12" t="str">
        <x:v>SC_LOGIN_001</x:v>
      </x:c>
      <x:c r="C2" s="12" t="str">
        <x:v>Login</x:v>
      </x:c>
      <x:c r="D2" s="12" t="str">
        <x:v>Verify login with valid credentials and selected location</x:v>
      </x:c>
      <x:c r="E2" s="12" t="str">
        <x:v>User is on the OpenMRS login page.</x:v>
      </x:c>
      <x:c r="F2" s="12" t="str">
        <x:v>1. Open OpenMRS login page
2. Enter valid username
3. Enter valid password
4. Select location
5. Click Login</x:v>
      </x:c>
      <x:c r="G2" s="12" t="str">
        <x:v>Username: admin
Password: Admin123
Location: Any</x:v>
      </x:c>
      <x:c r="H2" s="12" t="str">
        <x:v>User is successfully logged in and redirected to the home dashboard.</x:v>
      </x:c>
      <x:c r="I2" s="12" t="str"/>
      <x:c r="J2" s="12" t="str">
        <x:v>Not Run</x:v>
      </x:c>
      <x:c r="K2" s="12" t="str">
        <x:v>Critical</x:v>
      </x:c>
      <x:c r="L2" s="12" t="str">
        <x:v>High</x:v>
      </x:c>
      <x:c r="M2" s="12" t="str">
        <x:v>Yes</x:v>
      </x:c>
      <x:c r="N2" s="12" t="str">
        <x:v>Yes</x:v>
      </x:c>
      <x:c r="O2" s="12" t="str"/>
      <x:c r="P2" s="12" t="str">
        <x:v>Core authentication flow.</x:v>
      </x:c>
    </x:row>
    <x:row r="3">
      <x:c r="A3" s="12" t="str">
        <x:v>TC_LOGIN_002</x:v>
      </x:c>
      <x:c r="B3" s="12" t="str">
        <x:v>SC_LOGIN_002</x:v>
      </x:c>
      <x:c r="C3" s="12" t="str">
        <x:v>Login</x:v>
      </x:c>
      <x:c r="D3" s="12" t="str">
        <x:v>Verify login with invalid password</x:v>
      </x:c>
      <x:c r="E3" s="12" t="str">
        <x:v>User is on the OpenMRS login page.</x:v>
      </x:c>
      <x:c r="F3" s="12" t="str">
        <x:v>1. Open OpenMRS login page
2. Enter valid username
3. Enter invalid password
4. Select location
5. Click Login</x:v>
      </x:c>
      <x:c r="G3" s="12" t="str">
        <x:v>Username: admin
Password: wrong_password
Location: Any</x:v>
      </x:c>
      <x:c r="H3" s="12" t="str">
        <x:v>System displays an error message and user remains on the login page.</x:v>
      </x:c>
      <x:c r="I3" s="12" t="str"/>
      <x:c r="J3" s="12" t="str">
        <x:v>Not Run</x:v>
      </x:c>
      <x:c r="K3" s="12" t="str">
        <x:v>Major</x:v>
      </x:c>
      <x:c r="L3" s="12" t="str">
        <x:v>High</x:v>
      </x:c>
      <x:c r="M3" s="12" t="str">
        <x:v>Yes</x:v>
      </x:c>
      <x:c r="N3" s="12" t="str">
        <x:v>Yes</x:v>
      </x:c>
      <x:c r="O3" s="12" t="str"/>
      <x:c r="P3" s="12" t="str">
        <x:v>Negative authentication case.</x:v>
      </x:c>
    </x:row>
    <x:row r="4">
      <x:c r="A4" s="12" t="str">
        <x:v>TC_LOGIN_003</x:v>
      </x:c>
      <x:c r="B4" s="12" t="str">
        <x:v>SC_LOGIN_003</x:v>
      </x:c>
      <x:c r="C4" s="12" t="str">
        <x:v>Login</x:v>
      </x:c>
      <x:c r="D4" s="12" t="str">
        <x:v>Verify login with empty username</x:v>
      </x:c>
      <x:c r="E4" s="12" t="str">
        <x:v>User is on the OpenMRS login page.</x:v>
      </x:c>
      <x:c r="F4" s="12" t="str">
        <x:v>1. Open OpenMRS login page
2. Leave username empty
3. Enter valid password
4. Select location
5. Click Login</x:v>
      </x:c>
      <x:c r="G4" s="12" t="str">
        <x:v>Username: empty
Password: Admin123
Location: Any</x:v>
      </x:c>
      <x:c r="H4" s="12" t="str">
        <x:v>System prevents login and displays a validation or error message.</x:v>
      </x:c>
      <x:c r="I4" s="12" t="str"/>
      <x:c r="J4" s="12" t="str">
        <x:v>Not Run</x:v>
      </x:c>
      <x:c r="K4" s="12" t="str">
        <x:v>Major</x:v>
      </x:c>
      <x:c r="L4" s="12" t="str">
        <x:v>Medium</x:v>
      </x:c>
      <x:c r="M4" s="12" t="str">
        <x:v>Yes</x:v>
      </x:c>
      <x:c r="N4" s="12" t="str">
        <x:v>No</x:v>
      </x:c>
      <x:c r="O4" s="12" t="str"/>
      <x:c r="P4" s="12" t="str">
        <x:v>Checks required username handling.</x:v>
      </x:c>
    </x:row>
    <x:row r="5">
      <x:c r="A5" s="12" t="str">
        <x:v>TC_LOGIN_004</x:v>
      </x:c>
      <x:c r="B5" s="12" t="str">
        <x:v>SC_LOGIN_004</x:v>
      </x:c>
      <x:c r="C5" s="12" t="str">
        <x:v>Login</x:v>
      </x:c>
      <x:c r="D5" s="12" t="str">
        <x:v>Verify login with empty password</x:v>
      </x:c>
      <x:c r="E5" s="12" t="str">
        <x:v>User is on the OpenMRS login page.</x:v>
      </x:c>
      <x:c r="F5" s="12" t="str">
        <x:v>1. Open OpenMRS login page
2. Enter valid username
3. Leave password empty
4. Select location
5. Click Login</x:v>
      </x:c>
      <x:c r="G5" s="12" t="str">
        <x:v>Username: admin
Password: empty
Location: Any</x:v>
      </x:c>
      <x:c r="H5" s="12" t="str">
        <x:v>System prevents login and displays a validation or error message.</x:v>
      </x:c>
      <x:c r="I5" s="12" t="str"/>
      <x:c r="J5" s="12" t="str">
        <x:v>Not Run</x:v>
      </x:c>
      <x:c r="K5" s="12" t="str">
        <x:v>Major</x:v>
      </x:c>
      <x:c r="L5" s="12" t="str">
        <x:v>Medium</x:v>
      </x:c>
      <x:c r="M5" s="12" t="str">
        <x:v>Yes</x:v>
      </x:c>
      <x:c r="N5" s="12" t="str">
        <x:v>No</x:v>
      </x:c>
      <x:c r="O5" s="12" t="str"/>
      <x:c r="P5" s="12" t="str">
        <x:v>Checks required password handling.</x:v>
      </x:c>
    </x:row>
    <x:row r="6">
      <x:c r="A6" s="12" t="str">
        <x:v>TC_LOGIN_005</x:v>
      </x:c>
      <x:c r="B6" s="12" t="str">
        <x:v>SC_LOGIN_005</x:v>
      </x:c>
      <x:c r="C6" s="12" t="str">
        <x:v>Login</x:v>
      </x:c>
      <x:c r="D6" s="12" t="str">
        <x:v>Verify login without selecting a location</x:v>
      </x:c>
      <x:c r="E6" s="12" t="str">
        <x:v>User is on the OpenMRS login page.</x:v>
      </x:c>
      <x:c r="F6" s="12" t="str">
        <x:v>1. Open OpenMRS login page
2. Enter valid username
3. Enter valid password
4. Do not select location
5. Click Login</x:v>
      </x:c>
      <x:c r="G6" s="12" t="str">
        <x:v>Username: admin
Password: Admin123
Location: not selected</x:v>
      </x:c>
      <x:c r="H6" s="12" t="str">
        <x:v>System prevents login or requires a location to be selected before login.</x:v>
      </x:c>
      <x:c r="I6" s="12" t="str"/>
      <x:c r="J6" s="12" t="str">
        <x:v>Not Run</x:v>
      </x:c>
      <x:c r="K6" s="12" t="str">
        <x:v>Major</x:v>
      </x:c>
      <x:c r="L6" s="12" t="str">
        <x:v>Medium</x:v>
      </x:c>
      <x:c r="M6" s="12" t="str">
        <x:v>Yes</x:v>
      </x:c>
      <x:c r="N6" s="12" t="str">
        <x:v>No</x:v>
      </x:c>
      <x:c r="O6" s="12" t="str"/>
      <x:c r="P6" s="12" t="str">
        <x:v>Location behavior may vary depending on demo configuration.</x:v>
      </x:c>
    </x:row>
    <x:row r="7">
      <x:c r="A7" s="12" t="str">
        <x:v>TC_LOGIN_006</x:v>
      </x:c>
      <x:c r="B7" s="12" t="str">
        <x:v>SC_LOGIN_002</x:v>
      </x:c>
      <x:c r="C7" s="12" t="str">
        <x:v>Login</x:v>
      </x:c>
      <x:c r="D7" s="12" t="str">
        <x:v>Verify login with invalid username</x:v>
      </x:c>
      <x:c r="E7" s="12" t="str">
        <x:v>User is on the OpenMRS login page.</x:v>
      </x:c>
      <x:c r="F7" s="12" t="str">
        <x:v>1. Open OpenMRS login page
2. Enter invalid username
3. Enter valid password
4. Select location
5. Click Login</x:v>
      </x:c>
      <x:c r="G7" s="12" t="str">
        <x:v>Username: invalid_user
Password: Admin123
Location: Any</x:v>
      </x:c>
      <x:c r="H7" s="12" t="str">
        <x:v>System displays an error message and user remains on the login page.</x:v>
      </x:c>
      <x:c r="I7" s="12" t="str"/>
      <x:c r="J7" s="12" t="str">
        <x:v>Not Run</x:v>
      </x:c>
      <x:c r="K7" s="12" t="str">
        <x:v>Major</x:v>
      </x:c>
      <x:c r="L7" s="12" t="str">
        <x:v>Medium</x:v>
      </x:c>
      <x:c r="M7" s="12" t="str">
        <x:v>Yes</x:v>
      </x:c>
      <x:c r="N7" s="12" t="str">
        <x:v>Yes</x:v>
      </x:c>
      <x:c r="O7" s="12" t="str"/>
      <x:c r="P7" s="12" t="str">
        <x:v>Additional negative login case.</x:v>
      </x:c>
    </x:row>
    <x:row r="8">
      <x:c r="A8" s="12" t="str">
        <x:v>TC_LOGOUT_001</x:v>
      </x:c>
      <x:c r="B8" s="12" t="str">
        <x:v>SC_LOGOUT_001</x:v>
      </x:c>
      <x:c r="C8" s="12" t="str">
        <x:v>Logout</x:v>
      </x:c>
      <x:c r="D8" s="12" t="str">
        <x:v>Verify user can log out successfully</x:v>
      </x:c>
      <x:c r="E8" s="12" t="str">
        <x:v>User is logged in and on the home dashboard.</x:v>
      </x:c>
      <x:c r="F8" s="12" t="str">
        <x:v>1. Click Logout
2. Observe the page after logout</x:v>
      </x:c>
      <x:c r="G8" s="12" t="str">
        <x:v>Logged-in admin user</x:v>
      </x:c>
      <x:c r="H8" s="12" t="str">
        <x:v>User is logged out and redirected to the login page.</x:v>
      </x:c>
      <x:c r="I8" s="12" t="str"/>
      <x:c r="J8" s="12" t="str">
        <x:v>Not Run</x:v>
      </x:c>
      <x:c r="K8" s="12" t="str">
        <x:v>Major</x:v>
      </x:c>
      <x:c r="L8" s="12" t="str">
        <x:v>High</x:v>
      </x:c>
      <x:c r="M8" s="12" t="str">
        <x:v>Yes</x:v>
      </x:c>
      <x:c r="N8" s="12" t="str">
        <x:v>Yes</x:v>
      </x:c>
      <x:c r="O8" s="12" t="str"/>
      <x:c r="P8" s="12" t="str">
        <x:v>Basic session ending flow.</x:v>
      </x:c>
    </x:row>
    <x:row r="9">
      <x:c r="A9" s="12" t="str">
        <x:v>TC_LOGOUT_002</x:v>
      </x:c>
      <x:c r="B9" s="12" t="str">
        <x:v>SC_LOGOUT_002</x:v>
      </x:c>
      <x:c r="C9" s="12" t="str">
        <x:v>Logout</x:v>
      </x:c>
      <x:c r="D9" s="12" t="str">
        <x:v>Verify protected page cannot be accessed after logout</x:v>
      </x:c>
      <x:c r="E9" s="12" t="str">
        <x:v>User has logged out from the system.</x:v>
      </x:c>
      <x:c r="F9" s="12" t="str">
        <x:v>1. Log in successfully
2. Copy/open a protected dashboard or patient page URL
3. Log out
4. Paste/access the protected URL again</x:v>
      </x:c>
      <x:c r="G9" s="12" t="str">
        <x:v>Protected URL after logout</x:v>
      </x:c>
      <x:c r="H9" s="12" t="str">
        <x:v>System should not allow access to protected page without login.</x:v>
      </x:c>
      <x:c r="I9" s="12" t="str"/>
      <x:c r="J9" s="12" t="str">
        <x:v>Not Run</x:v>
      </x:c>
      <x:c r="K9" s="12" t="str">
        <x:v>Major</x:v>
      </x:c>
      <x:c r="L9" s="12" t="str">
        <x:v>Medium</x:v>
      </x:c>
      <x:c r="M9" s="12" t="str">
        <x:v>Optional</x:v>
      </x:c>
      <x:c r="N9" s="12" t="str">
        <x:v>Yes</x:v>
      </x:c>
      <x:c r="O9" s="12" t="str"/>
      <x:c r="P9" s="12" t="str">
        <x:v>Security-related session check.</x:v>
      </x:c>
    </x:row>
    <x:row r="10">
      <x:c r="A10" s="12" t="str">
        <x:v>TC_SEARCH_001</x:v>
      </x:c>
      <x:c r="B10" s="12" t="str">
        <x:v>SC_SEARCH_001</x:v>
      </x:c>
      <x:c r="C10" s="12" t="str">
        <x:v>Patient Search</x:v>
      </x:c>
      <x:c r="D10" s="12" t="str">
        <x:v>Verify searching patient by valid patient name</x:v>
      </x:c>
      <x:c r="E10" s="12" t="str">
        <x:v>User is logged in and on the home dashboard.</x:v>
      </x:c>
      <x:c r="F10" s="12" t="str">
        <x:v>1. Click Find Patient Record
2. Enter a valid existing patient name
3. Observe search results</x:v>
      </x:c>
      <x:c r="G10" s="12" t="str">
        <x:v>Existing demo patient name</x:v>
      </x:c>
      <x:c r="H10" s="12" t="str">
        <x:v>Matching patient records are displayed in the search results.</x:v>
      </x:c>
      <x:c r="I10" s="12" t="str"/>
      <x:c r="J10" s="12" t="str">
        <x:v>Not Run</x:v>
      </x:c>
      <x:c r="K10" s="12" t="str">
        <x:v>Critical</x:v>
      </x:c>
      <x:c r="L10" s="12" t="str">
        <x:v>High</x:v>
      </x:c>
      <x:c r="M10" s="12" t="str">
        <x:v>Yes</x:v>
      </x:c>
      <x:c r="N10" s="12" t="str">
        <x:v>Yes</x:v>
      </x:c>
      <x:c r="O10" s="12" t="str"/>
      <x:c r="P10" s="12" t="str">
        <x:v>Use stable demo patient data if possible.</x:v>
      </x:c>
    </x:row>
    <x:row r="11">
      <x:c r="A11" s="12" t="str">
        <x:v>TC_SEARCH_002</x:v>
      </x:c>
      <x:c r="B11" s="12" t="str">
        <x:v>SC_SEARCH_002</x:v>
      </x:c>
      <x:c r="C11" s="12" t="str">
        <x:v>Patient Search</x:v>
      </x:c>
      <x:c r="D11" s="12" t="str">
        <x:v>Verify searching patient by valid patient identifier</x:v>
      </x:c>
      <x:c r="E11" s="12" t="str">
        <x:v>User is logged in and on the Find Patient Record page.</x:v>
      </x:c>
      <x:c r="F11" s="12" t="str">
        <x:v>1. Enter a valid existing patient identifier
2. Observe search results</x:v>
      </x:c>
      <x:c r="G11" s="12" t="str">
        <x:v>Existing demo patient identifier</x:v>
      </x:c>
      <x:c r="H11" s="12" t="str">
        <x:v>Matching patient record is displayed.</x:v>
      </x:c>
      <x:c r="I11" s="12" t="str"/>
      <x:c r="J11" s="12" t="str">
        <x:v>Not Run</x:v>
      </x:c>
      <x:c r="K11" s="12" t="str">
        <x:v>Critical</x:v>
      </x:c>
      <x:c r="L11" s="12" t="str">
        <x:v>High</x:v>
      </x:c>
      <x:c r="M11" s="12" t="str">
        <x:v>Yes</x:v>
      </x:c>
      <x:c r="N11" s="12" t="str">
        <x:v>Yes</x:v>
      </x:c>
      <x:c r="O11" s="12" t="str"/>
      <x:c r="P11" s="12" t="str">
        <x:v>Identifier should be captured during exploration.</x:v>
      </x:c>
    </x:row>
    <x:row r="12">
      <x:c r="A12" s="12" t="str">
        <x:v>TC_SEARCH_003</x:v>
      </x:c>
      <x:c r="B12" s="12" t="str">
        <x:v>SC_SEARCH_003</x:v>
      </x:c>
      <x:c r="C12" s="12" t="str">
        <x:v>Patient Search</x:v>
      </x:c>
      <x:c r="D12" s="12" t="str">
        <x:v>Verify searching with a non-existing keyword</x:v>
      </x:c>
      <x:c r="E12" s="12" t="str">
        <x:v>User is logged in and on the Find Patient Record page.</x:v>
      </x:c>
      <x:c r="F12" s="12" t="str">
        <x:v>1. Enter a keyword that should not match any patient
2. Observe search results</x:v>
      </x:c>
      <x:c r="G12" s="12" t="str">
        <x:v>Keyword: zzznotexist123</x:v>
      </x:c>
      <x:c r="H12" s="12" t="str">
        <x:v>System shows no matching results or a proper no-result message.</x:v>
      </x:c>
      <x:c r="I12" s="12" t="str"/>
      <x:c r="J12" s="12" t="str">
        <x:v>Not Run</x:v>
      </x:c>
      <x:c r="K12" s="12" t="str">
        <x:v>Major</x:v>
      </x:c>
      <x:c r="L12" s="12" t="str">
        <x:v>Medium</x:v>
      </x:c>
      <x:c r="M12" s="12" t="str">
        <x:v>Yes</x:v>
      </x:c>
      <x:c r="N12" s="12" t="str">
        <x:v>Yes</x:v>
      </x:c>
      <x:c r="O12" s="12" t="str"/>
      <x:c r="P12" s="12" t="str">
        <x:v>Negative search case.</x:v>
      </x:c>
    </x:row>
    <x:row r="13">
      <x:c r="A13" s="12" t="str">
        <x:v>TC_SEARCH_004</x:v>
      </x:c>
      <x:c r="B13" s="12" t="str">
        <x:v>SC_SEARCH_004</x:v>
      </x:c>
      <x:c r="C13" s="12" t="str">
        <x:v>Patient Search</x:v>
      </x:c>
      <x:c r="D13" s="12" t="str">
        <x:v>Verify behavior when search input is empty</x:v>
      </x:c>
      <x:c r="E13" s="12" t="str">
        <x:v>User is logged in and on the Find Patient Record page.</x:v>
      </x:c>
      <x:c r="F13" s="12" t="str">
        <x:v>1. Leave search input empty
2. Trigger search if possible
3. Observe behavior</x:v>
      </x:c>
      <x:c r="G13" s="12" t="str">
        <x:v>Empty search input</x:v>
      </x:c>
      <x:c r="H13" s="12" t="str">
        <x:v>System handles empty input gracefully without error or irrelevant results.</x:v>
      </x:c>
      <x:c r="I13" s="12" t="str"/>
      <x:c r="J13" s="12" t="str">
        <x:v>Not Run</x:v>
      </x:c>
      <x:c r="K13" s="12" t="str">
        <x:v>Minor</x:v>
      </x:c>
      <x:c r="L13" s="12" t="str">
        <x:v>Medium</x:v>
      </x:c>
      <x:c r="M13" s="12" t="str">
        <x:v>Optional</x:v>
      </x:c>
      <x:c r="N13" s="12" t="str">
        <x:v>Optional</x:v>
      </x:c>
      <x:c r="O13" s="12" t="str"/>
      <x:c r="P13" s="12" t="str">
        <x:v>Behavior may depend on implementation.</x:v>
      </x:c>
    </x:row>
    <x:row r="14">
      <x:c r="A14" s="12" t="str">
        <x:v>TC_SEARCH_005</x:v>
      </x:c>
      <x:c r="B14" s="12" t="str">
        <x:v>SC_SEARCH_005</x:v>
      </x:c>
      <x:c r="C14" s="12" t="str">
        <x:v>Patient Search</x:v>
      </x:c>
      <x:c r="D14" s="12" t="str">
        <x:v>Verify search input with special characters</x:v>
      </x:c>
      <x:c r="E14" s="12" t="str">
        <x:v>User is logged in and on the Find Patient Record page.</x:v>
      </x:c>
      <x:c r="F14" s="12" t="str">
        <x:v>1. Enter special characters in search field
2. Observe behavior</x:v>
      </x:c>
      <x:c r="G14" s="12" t="str">
        <x:v>Input: @#$%^&amp;*</x:v>
      </x:c>
      <x:c r="H14" s="12" t="str">
        <x:v>System handles input safely and does not crash.</x:v>
      </x:c>
      <x:c r="I14" s="12" t="str"/>
      <x:c r="J14" s="12" t="str">
        <x:v>Not Run</x:v>
      </x:c>
      <x:c r="K14" s="12" t="str">
        <x:v>Major</x:v>
      </x:c>
      <x:c r="L14" s="12" t="str">
        <x:v>Medium</x:v>
      </x:c>
      <x:c r="M14" s="12" t="str">
        <x:v>Optional</x:v>
      </x:c>
      <x:c r="N14" s="12" t="str">
        <x:v>Yes</x:v>
      </x:c>
      <x:c r="O14" s="12" t="str"/>
      <x:c r="P14" s="12" t="str">
        <x:v>Basic robustness check, not deep security testing.</x:v>
      </x:c>
    </x:row>
    <x:row r="15">
      <x:c r="A15" s="12" t="str">
        <x:v>TC_SEARCH_006</x:v>
      </x:c>
      <x:c r="B15" s="12" t="str">
        <x:v>SC_SEARCH_001</x:v>
      </x:c>
      <x:c r="C15" s="12" t="str">
        <x:v>Patient Search</x:v>
      </x:c>
      <x:c r="D15" s="12" t="str">
        <x:v>Verify search results are updated according to entered keyword</x:v>
      </x:c>
      <x:c r="E15" s="12" t="str">
        <x:v>User is logged in and on the Find Patient Record page.</x:v>
      </x:c>
      <x:c r="F15" s="12" t="str">
        <x:v>1. Enter first valid keyword
2. Observe results
3. Clear input
4. Enter another valid keyword
5. Observe updated results</x:v>
      </x:c>
      <x:c r="G15" s="12" t="str">
        <x:v>Two valid demo patient keywords</x:v>
      </x:c>
      <x:c r="H15" s="12" t="str">
        <x:v>Search results change according to the latest keyword.</x:v>
      </x:c>
      <x:c r="I15" s="12" t="str"/>
      <x:c r="J15" s="12" t="str">
        <x:v>Not Run</x:v>
      </x:c>
      <x:c r="K15" s="12" t="str">
        <x:v>Major</x:v>
      </x:c>
      <x:c r="L15" s="12" t="str">
        <x:v>Medium</x:v>
      </x:c>
      <x:c r="M15" s="12" t="str">
        <x:v>Optional</x:v>
      </x:c>
      <x:c r="N15" s="12" t="str">
        <x:v>Optional</x:v>
      </x:c>
      <x:c r="O15" s="12" t="str"/>
      <x:c r="P15" s="12" t="str">
        <x:v>Useful manual usability check.</x:v>
      </x:c>
    </x:row>
    <x:row r="16">
      <x:c r="A16" s="12" t="str">
        <x:v>TC_PROFILE_001</x:v>
      </x:c>
      <x:c r="B16" s="12" t="str">
        <x:v>SC_PROFILE_001</x:v>
      </x:c>
      <x:c r="C16" s="12" t="str">
        <x:v>Patient Profile</x:v>
      </x:c>
      <x:c r="D16" s="12" t="str">
        <x:v>Verify patient profile opens from search result</x:v>
      </x:c>
      <x:c r="E16" s="12" t="str">
        <x:v>User is logged in and matching patient search results are displayed.</x:v>
      </x:c>
      <x:c r="F16" s="12" t="str">
        <x:v>1. Search for an existing patient
2. Click one patient from the results</x:v>
      </x:c>
      <x:c r="G16" s="12" t="str">
        <x:v>Existing demo patient</x:v>
      </x:c>
      <x:c r="H16" s="12" t="str">
        <x:v>Selected patient's profile page is opened successfully.</x:v>
      </x:c>
      <x:c r="I16" s="12" t="str"/>
      <x:c r="J16" s="12" t="str">
        <x:v>Not Run</x:v>
      </x:c>
      <x:c r="K16" s="12" t="str">
        <x:v>Critical</x:v>
      </x:c>
      <x:c r="L16" s="12" t="str">
        <x:v>High</x:v>
      </x:c>
      <x:c r="M16" s="12" t="str">
        <x:v>Yes</x:v>
      </x:c>
      <x:c r="N16" s="12" t="str">
        <x:v>Yes</x:v>
      </x:c>
      <x:c r="O16" s="12" t="str"/>
      <x:c r="P16" s="12" t="str">
        <x:v>Connects search flow with profile flow.</x:v>
      </x:c>
    </x:row>
    <x:row r="17">
      <x:c r="A17" s="12" t="str">
        <x:v>TC_PROFILE_002</x:v>
      </x:c>
      <x:c r="B17" s="12" t="str">
        <x:v>SC_PROFILE_002</x:v>
      </x:c>
      <x:c r="C17" s="12" t="str">
        <x:v>Patient Profile</x:v>
      </x:c>
      <x:c r="D17" s="12" t="str">
        <x:v>Verify patient name and identifier are displayed</x:v>
      </x:c>
      <x:c r="E17" s="12" t="str">
        <x:v>User is on a patient profile page.</x:v>
      </x:c>
      <x:c r="F17" s="12" t="str">
        <x:v>1. Observe patient profile header/details
2. Check displayed name and identifier</x:v>
      </x:c>
      <x:c r="G17" s="12" t="str">
        <x:v>Opened demo patient profile</x:v>
      </x:c>
      <x:c r="H17" s="12" t="str">
        <x:v>Patient name and patient identifier are visible on the profile page.</x:v>
      </x:c>
      <x:c r="I17" s="12" t="str"/>
      <x:c r="J17" s="12" t="str">
        <x:v>Not Run</x:v>
      </x:c>
      <x:c r="K17" s="12" t="str">
        <x:v>Critical</x:v>
      </x:c>
      <x:c r="L17" s="12" t="str">
        <x:v>High</x:v>
      </x:c>
      <x:c r="M17" s="12" t="str">
        <x:v>Yes</x:v>
      </x:c>
      <x:c r="N17" s="12" t="str">
        <x:v>Yes</x:v>
      </x:c>
      <x:c r="O17" s="12" t="str"/>
      <x:c r="P17" s="12" t="str">
        <x:v>Important data accuracy check.</x:v>
      </x:c>
    </x:row>
    <x:row r="18">
      <x:c r="A18" s="12" t="str">
        <x:v>TC_PROFILE_003</x:v>
      </x:c>
      <x:c r="B18" s="12" t="str">
        <x:v>SC_PROFILE_003</x:v>
      </x:c>
      <x:c r="C18" s="12" t="str">
        <x:v>Patient Profile</x:v>
      </x:c>
      <x:c r="D18" s="12" t="str">
        <x:v>Verify basic demographic information is displayed</x:v>
      </x:c>
      <x:c r="E18" s="12" t="str">
        <x:v>User is on a patient profile page.</x:v>
      </x:c>
      <x:c r="F18" s="12" t="str">
        <x:v>1. Observe demographic section
2. Check gender, age/birthdate or other displayed details</x:v>
      </x:c>
      <x:c r="G18" s="12" t="str">
        <x:v>Opened demo patient profile</x:v>
      </x:c>
      <x:c r="H18" s="12" t="str">
        <x:v>Basic demographic information is displayed if available.</x:v>
      </x:c>
      <x:c r="I18" s="12" t="str"/>
      <x:c r="J18" s="12" t="str">
        <x:v>Not Run</x:v>
      </x:c>
      <x:c r="K18" s="12" t="str">
        <x:v>Major</x:v>
      </x:c>
      <x:c r="L18" s="12" t="str">
        <x:v>Medium</x:v>
      </x:c>
      <x:c r="M18" s="12" t="str">
        <x:v>Optional</x:v>
      </x:c>
      <x:c r="N18" s="12" t="str">
        <x:v>Yes</x:v>
      </x:c>
      <x:c r="O18" s="12" t="str"/>
      <x:c r="P18" s="12" t="str">
        <x:v>Some fields may depend on demo data.</x:v>
      </x:c>
    </x:row>
    <x:row r="19">
      <x:c r="A19" s="12" t="str">
        <x:v>TC_PROFILE_004</x:v>
      </x:c>
      <x:c r="B19" s="12" t="str">
        <x:v>SC_PROFILE_003</x:v>
      </x:c>
      <x:c r="C19" s="12" t="str">
        <x:v>Patient Profile</x:v>
      </x:c>
      <x:c r="D19" s="12" t="str">
        <x:v>Verify navigation from patient profile back to dashboard/search</x:v>
      </x:c>
      <x:c r="E19" s="12" t="str">
        <x:v>User is on a patient profile page.</x:v>
      </x:c>
      <x:c r="F19" s="12" t="str">
        <x:v>1. Use available navigation or home/dashboard link
2. Return to dashboard or search page</x:v>
      </x:c>
      <x:c r="G19" s="12" t="str">
        <x:v>Opened demo patient profile</x:v>
      </x:c>
      <x:c r="H19" s="12" t="str">
        <x:v>User can navigate away from patient profile without error.</x:v>
      </x:c>
      <x:c r="I19" s="12" t="str"/>
      <x:c r="J19" s="12" t="str">
        <x:v>Not Run</x:v>
      </x:c>
      <x:c r="K19" s="12" t="str">
        <x:v>Minor</x:v>
      </x:c>
      <x:c r="L19" s="12" t="str">
        <x:v>Medium</x:v>
      </x:c>
      <x:c r="M19" s="12" t="str">
        <x:v>Optional</x:v>
      </x:c>
      <x:c r="N19" s="12" t="str">
        <x:v>No</x:v>
      </x:c>
      <x:c r="O19" s="12" t="str"/>
      <x:c r="P19" s="12" t="str">
        <x:v>Basic navigation/usability check.</x:v>
      </x:c>
    </x:row>
    <x:row r="20">
      <x:c r="A20" s="12" t="str">
        <x:v>TC_REGISTER_001</x:v>
      </x:c>
      <x:c r="B20" s="12" t="str">
        <x:v>SC_REGISTER_001</x:v>
      </x:c>
      <x:c r="C20" s="12" t="str">
        <x:v>Register Patient</x:v>
      </x:c>
      <x:c r="D20" s="12" t="str">
        <x:v>Verify registering a new patient with valid required data</x:v>
      </x:c>
      <x:c r="E20" s="12" t="str">
        <x:v>User is logged in and on Register a Patient page.</x:v>
      </x:c>
      <x:c r="F20" s="12" t="str">
        <x:v>1. Enter required patient name
2. Select gender
3. Enter birthdate or age
4. Complete required steps
5. Confirm and submit</x:v>
      </x:c>
      <x:c r="G20" s="12" t="str">
        <x:v>Given Name: TestAuto
Family Name: Patient
Gender: Male
Age: 30</x:v>
      </x:c>
      <x:c r="H20" s="12" t="str">
        <x:v>New patient record is created and patient profile is displayed.</x:v>
      </x:c>
      <x:c r="I20" s="12" t="str"/>
      <x:c r="J20" s="12" t="str">
        <x:v>Not Run</x:v>
      </x:c>
      <x:c r="K20" s="12" t="str">
        <x:v>Critical</x:v>
      </x:c>
      <x:c r="L20" s="12" t="str">
        <x:v>High</x:v>
      </x:c>
      <x:c r="M20" s="12" t="str">
        <x:v>Optional</x:v>
      </x:c>
      <x:c r="N20" s="12" t="str">
        <x:v>Optional</x:v>
      </x:c>
      <x:c r="O20" s="12" t="str"/>
      <x:c r="P20" s="12" t="str">
        <x:v>Use minimal dummy data; avoid excessive creation on public demo.</x:v>
      </x:c>
    </x:row>
    <x:row r="21">
      <x:c r="A21" s="12" t="str">
        <x:v>TC_REGISTER_002</x:v>
      </x:c>
      <x:c r="B21" s="12" t="str">
        <x:v>SC_REGISTER_002</x:v>
      </x:c>
      <x:c r="C21" s="12" t="str">
        <x:v>Register Patient</x:v>
      </x:c>
      <x:c r="D21" s="12" t="str">
        <x:v>Verify required validation when given name is missing</x:v>
      </x:c>
      <x:c r="E21" s="12" t="str">
        <x:v>User is logged in and on Register a Patient page.</x:v>
      </x:c>
      <x:c r="F21" s="12" t="str">
        <x:v>1. Leave given name empty
2. Enter family name
3. Continue to next step or submit if possible</x:v>
      </x:c>
      <x:c r="G21" s="12" t="str">
        <x:v>Given Name: empty
Family Name: Patient</x:v>
      </x:c>
      <x:c r="H21" s="12" t="str">
        <x:v>System prevents continuation/submission and shows validation for missing given name.</x:v>
      </x:c>
      <x:c r="I21" s="12" t="str"/>
      <x:c r="J21" s="12" t="str">
        <x:v>Not Run</x:v>
      </x:c>
      <x:c r="K21" s="12" t="str">
        <x:v>Major</x:v>
      </x:c>
      <x:c r="L21" s="12" t="str">
        <x:v>High</x:v>
      </x:c>
      <x:c r="M21" s="12" t="str">
        <x:v>Yes</x:v>
      </x:c>
      <x:c r="N21" s="12" t="str">
        <x:v>Optional</x:v>
      </x:c>
      <x:c r="O21" s="12" t="str"/>
      <x:c r="P21" s="12" t="str">
        <x:v>Required field validation.</x:v>
      </x:c>
    </x:row>
    <x:row r="22">
      <x:c r="A22" s="12" t="str">
        <x:v>TC_REGISTER_003</x:v>
      </x:c>
      <x:c r="B22" s="12" t="str">
        <x:v>SC_REGISTER_003</x:v>
      </x:c>
      <x:c r="C22" s="12" t="str">
        <x:v>Register Patient</x:v>
      </x:c>
      <x:c r="D22" s="12" t="str">
        <x:v>Verify required validation when family name is missing</x:v>
      </x:c>
      <x:c r="E22" s="12" t="str">
        <x:v>User is logged in and on Register a Patient page.</x:v>
      </x:c>
      <x:c r="F22" s="12" t="str">
        <x:v>1. Enter given name
2. Leave family name empty
3. Continue to next step or submit if possible</x:v>
      </x:c>
      <x:c r="G22" s="12" t="str">
        <x:v>Given Name: TestAuto
Family Name: empty</x:v>
      </x:c>
      <x:c r="H22" s="12" t="str">
        <x:v>System prevents continuation/submission and shows validation for missing family name.</x:v>
      </x:c>
      <x:c r="I22" s="12" t="str"/>
      <x:c r="J22" s="12" t="str">
        <x:v>Not Run</x:v>
      </x:c>
      <x:c r="K22" s="12" t="str">
        <x:v>Major</x:v>
      </x:c>
      <x:c r="L22" s="12" t="str">
        <x:v>High</x:v>
      </x:c>
      <x:c r="M22" s="12" t="str">
        <x:v>Yes</x:v>
      </x:c>
      <x:c r="N22" s="12" t="str">
        <x:v>Optional</x:v>
      </x:c>
      <x:c r="O22" s="12" t="str"/>
      <x:c r="P22" s="12" t="str">
        <x:v>Required field validation.</x:v>
      </x:c>
    </x:row>
    <x:row r="23">
      <x:c r="A23" s="12" t="str">
        <x:v>TC_REGISTER_004</x:v>
      </x:c>
      <x:c r="B23" s="12" t="str">
        <x:v>SC_REGISTER_004</x:v>
      </x:c>
      <x:c r="C23" s="12" t="str">
        <x:v>Register Patient</x:v>
      </x:c>
      <x:c r="D23" s="12" t="str">
        <x:v>Verify required validation when gender is missing</x:v>
      </x:c>
      <x:c r="E23" s="12" t="str">
        <x:v>User is logged in and on Register a Patient page.</x:v>
      </x:c>
      <x:c r="F23" s="12" t="str">
        <x:v>1. Enter required name fields
2. Do not select gender
3. Continue to next step or submit if possible</x:v>
      </x:c>
      <x:c r="G23" s="12" t="str">
        <x:v>Given Name: TestAuto
Family Name: Patient
Gender: not selected</x:v>
      </x:c>
      <x:c r="H23" s="12" t="str">
        <x:v>System prevents continuation/submission and shows validation for missing gender.</x:v>
      </x:c>
      <x:c r="I23" s="12" t="str"/>
      <x:c r="J23" s="12" t="str">
        <x:v>Not Run</x:v>
      </x:c>
      <x:c r="K23" s="12" t="str">
        <x:v>Major</x:v>
      </x:c>
      <x:c r="L23" s="12" t="str">
        <x:v>High</x:v>
      </x:c>
      <x:c r="M23" s="12" t="str">
        <x:v>Yes</x:v>
      </x:c>
      <x:c r="N23" s="12" t="str">
        <x:v>Optional</x:v>
      </x:c>
      <x:c r="O23" s="12" t="str"/>
      <x:c r="P23" s="12" t="str">
        <x:v>Required field validation.</x:v>
      </x:c>
    </x:row>
    <x:row r="24">
      <x:c r="A24" s="12" t="str">
        <x:v>TC_REGISTER_005</x:v>
      </x:c>
      <x:c r="B24" s="12" t="str">
        <x:v>SC_REGISTER_005</x:v>
      </x:c>
      <x:c r="C24" s="12" t="str">
        <x:v>Register Patient</x:v>
      </x:c>
      <x:c r="D24" s="12" t="str">
        <x:v>Verify invalid birthdate or age handling</x:v>
      </x:c>
      <x:c r="E24" s="12" t="str">
        <x:v>User is logged in and on Register a Patient page.</x:v>
      </x:c>
      <x:c r="F24" s="12" t="str">
        <x:v>1. Enter required name fields
2. Select gender
3. Enter invalid birthdate or age
4. Continue</x:v>
      </x:c>
      <x:c r="G24" s="12" t="str">
        <x:v>Birthdate/Age: invalid value</x:v>
      </x:c>
      <x:c r="H24" s="12" t="str">
        <x:v>System displays validation message or prevents invalid data from being accepted.</x:v>
      </x:c>
      <x:c r="I24" s="12" t="str"/>
      <x:c r="J24" s="12" t="str">
        <x:v>Not Run</x:v>
      </x:c>
      <x:c r="K24" s="12" t="str">
        <x:v>Major</x:v>
      </x:c>
      <x:c r="L24" s="12" t="str">
        <x:v>Medium</x:v>
      </x:c>
      <x:c r="M24" s="12" t="str">
        <x:v>Optional</x:v>
      </x:c>
      <x:c r="N24" s="12" t="str">
        <x:v>Optional</x:v>
      </x:c>
      <x:c r="O24" s="12" t="str"/>
      <x:c r="P24" s="12" t="str">
        <x:v>Exact invalid format depends on UI controls.</x:v>
      </x:c>
    </x:row>
    <x:row r="25">
      <x:c r="A25" s="12" t="str">
        <x:v>TC_REGISTER_006</x:v>
      </x:c>
      <x:c r="B25" s="12" t="str">
        <x:v>SC_REGISTER_001</x:v>
      </x:c>
      <x:c r="C25" s="12" t="str">
        <x:v>Register Patient</x:v>
      </x:c>
      <x:c r="D25" s="12" t="str">
        <x:v>Verify confirmation page shows entered patient information</x:v>
      </x:c>
      <x:c r="E25" s="12" t="str">
        <x:v>User has entered valid required patient registration data.</x:v>
      </x:c>
      <x:c r="F25" s="12" t="str">
        <x:v>1. Complete required registration steps
2. Go to confirmation page
3. Review displayed information</x:v>
      </x:c>
      <x:c r="G25" s="12" t="str">
        <x:v>Valid dummy patient data</x:v>
      </x:c>
      <x:c r="H25" s="12" t="str">
        <x:v>Confirmation page displays the entered patient information correctly before final submission.</x:v>
      </x:c>
      <x:c r="I25" s="12" t="str"/>
      <x:c r="J25" s="12" t="str">
        <x:v>Not Run</x:v>
      </x:c>
      <x:c r="K25" s="12" t="str">
        <x:v>Major</x:v>
      </x:c>
      <x:c r="L25" s="12" t="str">
        <x:v>Medium</x:v>
      </x:c>
      <x:c r="M25" s="12" t="str">
        <x:v>Optional</x:v>
      </x:c>
      <x:c r="N25" s="12" t="str">
        <x:v>No</x:v>
      </x:c>
      <x:c r="O25" s="12" t="str"/>
      <x:c r="P25" s="12" t="str">
        <x:v>Prevents incorrect data entry before creation.</x:v>
      </x:c>
    </x:row>
    <x:row r="26">
      <x:c r="A26" s="12" t="str">
        <x:v>TC_REGISTER_007</x:v>
      </x:c>
      <x:c r="B26" s="12" t="str">
        <x:v>SC_REGISTER_001</x:v>
      </x:c>
      <x:c r="C26" s="12" t="str">
        <x:v>Register Patient</x:v>
      </x:c>
      <x:c r="D26" s="12" t="str">
        <x:v>Verify cancel or exit behavior during patient registration</x:v>
      </x:c>
      <x:c r="E26" s="12" t="str">
        <x:v>User is in the middle of patient registration flow.</x:v>
      </x:c>
      <x:c r="F26" s="12" t="str">
        <x:v>1. Start registering a patient
2. Use cancel/back/home navigation if available
3. Observe behavior</x:v>
      </x:c>
      <x:c r="G26" s="12" t="str">
        <x:v>Partial dummy patient data</x:v>
      </x:c>
      <x:c r="H26" s="12" t="str">
        <x:v>System exits registration flow safely without creating incomplete patient record.</x:v>
      </x:c>
      <x:c r="I26" s="12" t="str"/>
      <x:c r="J26" s="12" t="str">
        <x:v>Not Run</x:v>
      </x:c>
      <x:c r="K26" s="12" t="str">
        <x:v>Minor</x:v>
      </x:c>
      <x:c r="L26" s="12" t="str">
        <x:v>Medium</x:v>
      </x:c>
      <x:c r="M26" s="12" t="str">
        <x:v>Optional</x:v>
      </x:c>
      <x:c r="N26" s="12" t="str">
        <x:v>No</x:v>
      </x:c>
      <x:c r="O26" s="12" t="str"/>
      <x:c r="P26" s="12" t="str">
        <x:v>Usability and data integrity check.</x:v>
      </x:c>
    </x:row>
    <x:row r="27">
      <x:c r="A27" s="12" t="str">
        <x:v>TC_REGISTER_008</x:v>
      </x:c>
      <x:c r="B27" s="12" t="str">
        <x:v>SC_REGISTER_005</x:v>
      </x:c>
      <x:c r="C27" s="12" t="str">
        <x:v>Register Patient</x:v>
      </x:c>
      <x:c r="D27" s="12" t="str">
        <x:v>Verify phone number field behavior with invalid input</x:v>
      </x:c>
      <x:c r="E27" s="12" t="str">
        <x:v>User is logged in and on phone number step if available.</x:v>
      </x:c>
      <x:c r="F27" s="12" t="str">
        <x:v>1. Navigate to phone number section
2. Enter invalid phone text
3. Continue or submit</x:v>
      </x:c>
      <x:c r="G27" s="12" t="str">
        <x:v>Phone: abc@@@</x:v>
      </x:c>
      <x:c r="H27" s="12" t="str">
        <x:v>System handles invalid phone input gracefully according to validation rules.</x:v>
      </x:c>
      <x:c r="I27" s="12" t="str"/>
      <x:c r="J27" s="12" t="str">
        <x:v>Not Run</x:v>
      </x:c>
      <x:c r="K27" s="12" t="str">
        <x:v>Minor</x:v>
      </x:c>
      <x:c r="L27" s="12" t="str">
        <x:v>Low</x:v>
      </x:c>
      <x:c r="M27" s="12" t="str">
        <x:v>Optional</x:v>
      </x:c>
      <x:c r="N27" s="12" t="str">
        <x:v>Optional</x:v>
      </x:c>
      <x:c r="O27" s="12" t="str"/>
      <x:c r="P27" s="12" t="str">
        <x:v>Phone validation may be optional in demo.</x:v>
      </x:c>
    </x:row>
    <x:row r="28">
      <x:c r="A28" s="12" t="str">
        <x:v>TC_API_LINK_001</x:v>
      </x:c>
      <x:c r="B28" s="12" t="str">
        <x:v>SC_API_001</x:v>
      </x:c>
      <x:c r="C28" s="12" t="str">
        <x:v>API-related Flow</x:v>
      </x:c>
      <x:c r="D28" s="12" t="str">
        <x:v>Verify UI login flow has corresponding authentication/session behavior</x:v>
      </x:c>
      <x:c r="E28" s="12" t="str">
        <x:v>User has access to browser DevTools or API documentation.</x:v>
      </x:c>
      <x:c r="F28" s="12" t="str">
        <x:v>1. Log in through UI
2. Observe session/authentication behavior through browser or documentation
3. Compare with planned API test</x:v>
      </x:c>
      <x:c r="G28" s="12" t="str">
        <x:v>Valid admin demo user</x:v>
      </x:c>
      <x:c r="H28" s="12" t="str">
        <x:v>UI authentication flow can be mapped to an API/session check for Postman testing.</x:v>
      </x:c>
      <x:c r="I28" s="12" t="str"/>
      <x:c r="J28" s="12" t="str">
        <x:v>Not Run</x:v>
      </x:c>
      <x:c r="K28" s="12" t="str">
        <x:v>Major</x:v>
      </x:c>
      <x:c r="L28" s="12" t="str">
        <x:v>Medium</x:v>
      </x:c>
      <x:c r="M28" s="12" t="str">
        <x:v>No</x:v>
      </x:c>
      <x:c r="N28" s="12" t="str">
        <x:v>Yes</x:v>
      </x:c>
      <x:c r="O28" s="12" t="str"/>
      <x:c r="P28" s="12" t="str">
        <x:v>Documentation/mapping case for API testing.</x:v>
      </x:c>
    </x:row>
    <x:row r="29">
      <x:c r="A29" s="12" t="str">
        <x:v>TC_API_LINK_002</x:v>
      </x:c>
      <x:c r="B29" s="12" t="str">
        <x:v>SC_API_003</x:v>
      </x:c>
      <x:c r="C29" s="12" t="str">
        <x:v>API-related Flow</x:v>
      </x:c>
      <x:c r="D29" s="12" t="str">
        <x:v>Verify patient search UI can be mapped to patient/person API search</x:v>
      </x:c>
      <x:c r="E29" s="12" t="str">
        <x:v>User is logged in and can access patient search.</x:v>
      </x:c>
      <x:c r="F29" s="12" t="str">
        <x:v>1. Perform patient search in UI
2. Observe search behavior
3. Identify related API candidate</x:v>
      </x:c>
      <x:c r="G29" s="12" t="str">
        <x:v>Existing demo patient keyword</x:v>
      </x:c>
      <x:c r="H29" s="12" t="str">
        <x:v>Patient search workflow has a related API search case for Postman.</x:v>
      </x:c>
      <x:c r="I29" s="12" t="str"/>
      <x:c r="J29" s="12" t="str">
        <x:v>Not Run</x:v>
      </x:c>
      <x:c r="K29" s="12" t="str">
        <x:v>Major</x:v>
      </x:c>
      <x:c r="L29" s="12" t="str">
        <x:v>Medium</x:v>
      </x:c>
      <x:c r="M29" s="12" t="str">
        <x:v>No</x:v>
      </x:c>
      <x:c r="N29" s="12" t="str">
        <x:v>Yes</x:v>
      </x:c>
      <x:c r="O29" s="12" t="str"/>
      <x:c r="P29" s="12" t="str">
        <x:v>Bridges UI test with Postman test.</x:v>
      </x:c>
    </x:row>
  </x:sheetData>
  <x:conditionalFormatting sqref="J2:J29">
    <x:cfRule type="expression" dxfId="0" priority="1">
      <x:formula>$J2="Pass"</x:formula>
    </x:cfRule>
    <x:cfRule type="expression" dxfId="1" priority="2">
      <x:formula>$J2="Fail"</x:formula>
    </x:cfRule>
    <x:cfRule type="expression" dxfId="2" priority="3">
      <x:formula>$J2="Blocked"</x:formula>
    </x:cfRule>
  </x:conditionalFormatting>
  <x:dataValidations count="5">
    <x:dataValidation type="list" sqref="J2:J29">
      <x:formula1>"Not Run,Pass,Fail,Blocked,Retest"</x:formula1>
    </x:dataValidation>
    <x:dataValidation type="list" sqref="K2:K29">
      <x:formula1>"Critical,Major,Minor,Trivial"</x:formula1>
    </x:dataValidation>
    <x:dataValidation type="list" sqref="L2:L29">
      <x:formula1>"High,Medium,Low"</x:formula1>
    </x:dataValidation>
    <x:dataValidation type="list" sqref="M2:M29">
      <x:formula1>"Yes,No,Optional"</x:formula1>
    </x:dataValidation>
    <x:dataValidation type="list" sqref="N2:N29">
      <x:formula1>"Yes,No,Optional"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1f76cb4d148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</x:cols>
  <x:sheetData>
    <x:row r="1">
      <x:c r="A1" s="4" t="str">
        <x:v>OpenMRS Healthcare Web Testing Project - Manual Test Case Summary</x:v>
      </x:c>
      <x:c r="B1" s="4" t="str"/>
    </x:row>
    <x:row r="2">
      <x:c r="A2" s="14" t="str">
        <x:v>Generated on</x:v>
      </x:c>
      <x:c r="B2" t="str">
        <x:v>2026-07-06</x:v>
      </x:c>
    </x:row>
    <x:row r="3">
      <x:c r="A3" s="14" t="str">
        <x:v>Total Test Cases</x:v>
      </x:c>
      <x:c r="B3" t="n">
        <x:f>COUNTA('Test Cases'!A2:A29)</x:f>
        <x:v>28</x:v>
      </x:c>
    </x:row>
    <x:row r="4">
      <x:c r="A4" s="14" t="str">
        <x:v>Not Run</x:v>
      </x:c>
      <x:c r="B4" t="n">
        <x:f>COUNTIF('Test Cases'!J2:J29,"Not Run")</x:f>
        <x:v>28</x:v>
      </x:c>
    </x:row>
    <x:row r="5">
      <x:c r="A5" s="14" t="str">
        <x:v>Pass</x:v>
      </x:c>
      <x:c r="B5" t="n">
        <x:f>COUNTIF('Test Cases'!J2:J29,"Pass")</x:f>
        <x:v>0</x:v>
      </x:c>
    </x:row>
    <x:row r="6">
      <x:c r="A6" s="14" t="str">
        <x:v>Fail</x:v>
      </x:c>
      <x:c r="B6" t="n">
        <x:f>COUNTIF('Test Cases'!J2:J29,"Fail")</x:f>
        <x:v>0</x:v>
      </x:c>
    </x:row>
    <x:row r="7">
      <x:c r="A7" s="14" t="str">
        <x:v>Blocked</x:v>
      </x:c>
      <x:c r="B7" t="n">
        <x:f>COUNTIF('Test Cases'!J2:J29,"Blocked")</x:f>
        <x:v>0</x:v>
      </x:c>
    </x:row>
    <x:row r="8">
      <x:c r="A8" s="14" t="str">
        <x:v>Retest</x:v>
      </x:c>
      <x:c r="B8" t="n">
        <x:f>COUNTIF('Test Cases'!J2:J29,"Retest")</x:f>
        <x:v>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8575333f76c4e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Guide</x:v>
      </x:c>
      <x:c r="B1" s="16" t="str">
        <x:v>Description</x:v>
      </x:c>
    </x:row>
    <x:row r="2">
      <x:c r="A2" t="str">
        <x:v>Purpose</x:v>
      </x:c>
      <x:c r="B2" t="str">
        <x:v>This workbook contains manual test cases for the OpenMRS Healthcare Web Testing Project.</x:v>
      </x:c>
    </x:row>
    <x:row r="3">
      <x:c r="A3" t="str">
        <x:v>How to use</x:v>
      </x:c>
      <x:c r="B3" t="str">
        <x:v>Execute each test case manually, then update Actual Result, Status, Evidence, and Notes.</x:v>
      </x:c>
    </x:row>
    <x:row r="4">
      <x:c r="A4" t="str">
        <x:v>Status values</x:v>
      </x:c>
      <x:c r="B4" t="str">
        <x:v>Not Run, Pass, Fail, Blocked, Retest</x:v>
      </x:c>
    </x:row>
    <x:row r="5">
      <x:c r="A5" t="str">
        <x:v>Evidence</x:v>
      </x:c>
      <x:c r="B5" t="str">
        <x:v>Use screenshot file names or GitHub paths, e.g. evidence/manual-screenshots/TC_LOGIN_001_pass.png</x:v>
      </x:c>
    </x:row>
    <x:row r="6">
      <x:c r="A6" t="str">
        <x:v>Next step</x:v>
      </x:c>
      <x:c r="B6" t="str">
        <x:v>After executing manual tests, update bug-reports.md and test-summary-report.md.</x:v>
      </x:c>
    </x:row>
    <x:row r="7">
      <x:c r="A7" t="str">
        <x:v>Source scenario file</x:v>
      </x:c>
      <x:c r="B7" t="str">
        <x:v>manual-testing/test-scenarios.md</x:v>
      </x:c>
    </x:row>
  </x:sheetData>
  <x:pageMargins left="0.7" right="0.7" top="0.75" bottom="0.75" header="0.3" footer="0.3"/>
  <x:tableParts count="1">
    <x:tablePart xmlns:r="http://schemas.openxmlformats.org/officeDocument/2006/relationships" r:id="R900ce979956c4b48"/>
  </x:tableParts>
</x:worksheet>
</file>